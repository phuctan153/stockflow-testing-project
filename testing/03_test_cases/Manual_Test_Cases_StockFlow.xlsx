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ersonalProject\stockflow-testing-project\testing\03_test_cases\"/>
    </mc:Choice>
  </mc:AlternateContent>
  <bookViews>
    <workbookView xWindow="0" yWindow="0" windowWidth="28800" windowHeight="12315"/>
  </bookViews>
  <sheets>
    <sheet name="Summary" sheetId="1" r:id="rId1"/>
    <sheet name="Manual Test Cases" sheetId="2" r:id="rId2"/>
    <sheet name="Test Data" sheetId="3" r:id="rId3"/>
    <sheet name="Techniques" sheetId="4" r:id="rId4"/>
    <sheet name="Lists" sheetId="5" r:id="rId5"/>
  </sheets>
  <calcPr calcId="152511"/>
  <fileRecoveryPr repairLoad="1"/>
</workbook>
</file>

<file path=xl/calcChain.xml><?xml version="1.0" encoding="utf-8"?>
<calcChain xmlns="http://schemas.openxmlformats.org/spreadsheetml/2006/main">
  <c r="G12" i="1" l="1"/>
  <c r="H12" i="1" s="1"/>
  <c r="F12" i="1"/>
  <c r="G11" i="1"/>
  <c r="H11" i="1" s="1"/>
  <c r="F11" i="1"/>
  <c r="B11" i="1"/>
  <c r="G10" i="1"/>
  <c r="H10" i="1" s="1"/>
  <c r="F10" i="1"/>
  <c r="B10" i="1"/>
  <c r="G9" i="1"/>
  <c r="H9" i="1" s="1"/>
  <c r="F9" i="1"/>
  <c r="B9" i="1"/>
  <c r="G8" i="1"/>
  <c r="H8" i="1" s="1"/>
  <c r="F8" i="1"/>
  <c r="B8" i="1"/>
  <c r="G7" i="1"/>
  <c r="H7" i="1" s="1"/>
  <c r="F7" i="1"/>
  <c r="B7" i="1"/>
  <c r="G6" i="1"/>
  <c r="H6" i="1" s="1"/>
  <c r="F6" i="1"/>
  <c r="B6" i="1"/>
  <c r="G5" i="1"/>
  <c r="H5" i="1" s="1"/>
  <c r="F5" i="1"/>
  <c r="B5" i="1"/>
  <c r="G4" i="1"/>
  <c r="H4" i="1" s="1"/>
  <c r="F4" i="1"/>
  <c r="B4" i="1"/>
</calcChain>
</file>

<file path=xl/sharedStrings.xml><?xml version="1.0" encoding="utf-8"?>
<sst xmlns="http://schemas.openxmlformats.org/spreadsheetml/2006/main" count="2111" uniqueCount="898">
  <si>
    <t>StockFlow Manual Test Cases</t>
  </si>
  <si>
    <t>Metric</t>
  </si>
  <si>
    <t>Value</t>
  </si>
  <si>
    <t>Notes</t>
  </si>
  <si>
    <t>Module</t>
  </si>
  <si>
    <t>Total</t>
  </si>
  <si>
    <t>High</t>
  </si>
  <si>
    <t>Medium/Low</t>
  </si>
  <si>
    <t>Total Test Cases</t>
  </si>
  <si>
    <t>All manual test cases</t>
  </si>
  <si>
    <t>Authentication</t>
  </si>
  <si>
    <t>High Priority</t>
  </si>
  <si>
    <t>Must execute first</t>
  </si>
  <si>
    <t>Dashboard</t>
  </si>
  <si>
    <t>Medium Priority</t>
  </si>
  <si>
    <t>Inventory Report</t>
  </si>
  <si>
    <t>Low Priority</t>
  </si>
  <si>
    <t>Product Management</t>
  </si>
  <si>
    <t>Not Run</t>
  </si>
  <si>
    <t>Initial status</t>
  </si>
  <si>
    <t>Role-Based Access</t>
  </si>
  <si>
    <t>Pass</t>
  </si>
  <si>
    <t>Stock-In</t>
  </si>
  <si>
    <t>Fail</t>
  </si>
  <si>
    <t>Stock-Out</t>
  </si>
  <si>
    <t>Blocked</t>
  </si>
  <si>
    <t>Transaction History</t>
  </si>
  <si>
    <t>UI and Validation</t>
  </si>
  <si>
    <t>Test Case ID</t>
  </si>
  <si>
    <t>Scenario ID</t>
  </si>
  <si>
    <t>Requirement ID</t>
  </si>
  <si>
    <t>Business Rule ID</t>
  </si>
  <si>
    <t>Test Case Title</t>
  </si>
  <si>
    <t>Test Technique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</si>
  <si>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</si>
  <si>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</si>
  <si>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</si>
  <si>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</si>
  <si>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</si>
  <si>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</si>
  <si>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</si>
  <si>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 Type</t>
  </si>
  <si>
    <t>Environment</t>
  </si>
  <si>
    <t>TC-001</t>
  </si>
  <si>
    <t>TS-AUTH-001</t>
  </si>
  <si>
    <t>FR-AUTH-001</t>
  </si>
  <si>
    <t>Verify login page is displayed</t>
  </si>
  <si>
    <t>Use Case Testing</t>
  </si>
  <si>
    <t>Application is running; user is on Login page</t>
  </si>
  <si>
    <t>1. Open frontend URL
2. Observe login page</t>
  </si>
  <si>
    <t>URL: http://localhost:3000/login</t>
  </si>
  <si>
    <t>Login page displays username field, password field, Login button, and demo account information.</t>
  </si>
  <si>
    <t>UI</t>
  </si>
  <si>
    <t>Chrome / Local</t>
  </si>
  <si>
    <t>TC-002</t>
  </si>
  <si>
    <t>TS-AUTH-002</t>
  </si>
  <si>
    <t>Verify Admin can login with valid credentials</t>
  </si>
  <si>
    <t>Equivalence Partitioning</t>
  </si>
  <si>
    <t>1. Enter valid admin username
2. Enter valid password
3. Click Login</t>
  </si>
  <si>
    <t>username=admin
password=123456</t>
  </si>
  <si>
    <t>Login succeeds. User is redirected to Dashboard. Admin full name and ADMIN role are displayed.</t>
  </si>
  <si>
    <t>Positive</t>
  </si>
  <si>
    <t>TC-003</t>
  </si>
  <si>
    <t>TS-AUTH-003</t>
  </si>
  <si>
    <t>Verify Staff can login with valid credentials</t>
  </si>
  <si>
    <t>1. Enter valid staff username
2. Enter valid password
3. Click Login</t>
  </si>
  <si>
    <t>username=staff
password=123456</t>
  </si>
  <si>
    <t>Login succeeds. User is redirected to Dashboard. Staff full name and STAFF role are displayed.</t>
  </si>
  <si>
    <t>TC-004</t>
  </si>
  <si>
    <t>TS-AUTH-004</t>
  </si>
  <si>
    <t>Verify login fails with invalid username</t>
  </si>
  <si>
    <t>1. Enter invalid username
2. Enter valid password
3. Click Login</t>
  </si>
  <si>
    <t>username=wrong_user
password=123456</t>
  </si>
  <si>
    <t>Login fails. Error message is displayed. User remains on Login page.</t>
  </si>
  <si>
    <t>Negative</t>
  </si>
  <si>
    <t>TC-005</t>
  </si>
  <si>
    <t>TS-AUTH-005</t>
  </si>
  <si>
    <t>Verify login fails with invalid password</t>
  </si>
  <si>
    <t>1. Enter valid username
2. Enter invalid password
3. Click Login</t>
  </si>
  <si>
    <t>username=admin
password=wrongpass</t>
  </si>
  <si>
    <t>TC-006</t>
  </si>
  <si>
    <t>TS-AUTH-006</t>
  </si>
  <si>
    <t>Verify username is required</t>
  </si>
  <si>
    <t>Validation Testing</t>
  </si>
  <si>
    <t>1. Leave username empty
2. Enter password
3. Click Login</t>
  </si>
  <si>
    <t>username=&lt;empty&gt;
password=123456</t>
  </si>
  <si>
    <t>Validation message for username required is displayed. Login request is not submitted.</t>
  </si>
  <si>
    <t>Validation</t>
  </si>
  <si>
    <t>TC-007</t>
  </si>
  <si>
    <t>Verify password is required</t>
  </si>
  <si>
    <t>1. Enter username
2. Leave password empty
3. Click Login</t>
  </si>
  <si>
    <t>username=admin
password=&lt;empty&gt;</t>
  </si>
  <si>
    <t>Validation message for password required is displayed. Login request is not submitted.</t>
  </si>
  <si>
    <t>TC-008</t>
  </si>
  <si>
    <t>Verify username and password are both required</t>
  </si>
  <si>
    <t>1. Leave username empty
2. Leave password empty
3. Click Login</t>
  </si>
  <si>
    <t>username=&lt;empty&gt;
password=&lt;empty&gt;</t>
  </si>
  <si>
    <t>Required validation messages are displayed for both fields.</t>
  </si>
  <si>
    <t>TC-009</t>
  </si>
  <si>
    <t>Verify login with blank spaces is rejected</t>
  </si>
  <si>
    <t>Error Guessing</t>
  </si>
  <si>
    <t>1. Enter spaces in username
2. Enter password
3. Click Login</t>
  </si>
  <si>
    <t>username='   '
password=123456</t>
  </si>
  <si>
    <t>Login is rejected or validation message is displayed. User is not logged in.</t>
  </si>
  <si>
    <t>Medium</t>
  </si>
  <si>
    <t>TC-010</t>
  </si>
  <si>
    <t>Verify login with SQL injection-like username is rejected</t>
  </si>
  <si>
    <t>1. Enter SQL injection-like text in username
2. Enter password
3. Click Login</t>
  </si>
  <si>
    <t>username=' OR '1'='1
password=123456</t>
  </si>
  <si>
    <t>Login is rejected. System does not crash or bypass authentication.</t>
  </si>
  <si>
    <t>Security</t>
  </si>
  <si>
    <t>TC-011</t>
  </si>
  <si>
    <t>TS-AUTH-007</t>
  </si>
  <si>
    <t>FR-AUTH-002</t>
  </si>
  <si>
    <t>Verify logged-in user can logout successfully</t>
  </si>
  <si>
    <t>State Transition Testing</t>
  </si>
  <si>
    <t>User is logged in as Admin or Staff</t>
  </si>
  <si>
    <t>1. Click Logout
2. Confirm user is redirected</t>
  </si>
  <si>
    <t>admin / 123456</t>
  </si>
  <si>
    <t>User is logged out. Auth data is cleared. User is redirected to Login page.</t>
  </si>
  <si>
    <t>Functional</t>
  </si>
  <si>
    <t>TC-012</t>
  </si>
  <si>
    <t>TS-AUTH-008</t>
  </si>
  <si>
    <t>NFR-SEC-001</t>
  </si>
  <si>
    <t>BR-014</t>
  </si>
  <si>
    <t>Verify unauthenticated user cannot access Dashboard</t>
  </si>
  <si>
    <t>User is not logged in</t>
  </si>
  <si>
    <t>1. Clear local storage
2. Open /dashboard directly</t>
  </si>
  <si>
    <t>URL=/dashboard</t>
  </si>
  <si>
    <t>User is redirected to Login page.</t>
  </si>
  <si>
    <t>TC-013</t>
  </si>
  <si>
    <t>Verify unauthenticated user cannot access Product List</t>
  </si>
  <si>
    <t>1. Clear local storage
2. Open /products directly</t>
  </si>
  <si>
    <t>URL=/products</t>
  </si>
  <si>
    <t>TC-014</t>
  </si>
  <si>
    <t>NFR-SEC-004</t>
  </si>
  <si>
    <t>Verify protected API rejects request without token</t>
  </si>
  <si>
    <t>API / Security Testing</t>
  </si>
  <si>
    <t>Postman is available; user has no token</t>
  </si>
  <si>
    <t>1. Send GET /api/products without Authorization header</t>
  </si>
  <si>
    <t>No token</t>
  </si>
  <si>
    <t>API returns Unauthorized response. No product data is returned.</t>
  </si>
  <si>
    <t>Also covered in API test cases later.</t>
  </si>
  <si>
    <t>TC-015</t>
  </si>
  <si>
    <t>TS-DASH-001</t>
  </si>
  <si>
    <t>FR-DASH-001</t>
  </si>
  <si>
    <t>Verify Dashboard page loads after login</t>
  </si>
  <si>
    <t>User is logged in successfully</t>
  </si>
  <si>
    <t>1. Login
2. Open Dashboard
3. Observe summary cards</t>
  </si>
  <si>
    <t>Existing product data</t>
  </si>
  <si>
    <t>Dashboard page is displayed without error.</t>
  </si>
  <si>
    <t>TC-016</t>
  </si>
  <si>
    <t>Verify Total Products card is displayed</t>
  </si>
  <si>
    <t>Total Products card shows numeric value.</t>
  </si>
  <si>
    <t>TC-017</t>
  </si>
  <si>
    <t>Verify Active Products card is displayed</t>
  </si>
  <si>
    <t>Active Products card shows numeric value.</t>
  </si>
  <si>
    <t>TC-018</t>
  </si>
  <si>
    <t>Verify Inactive Products card is displayed</t>
  </si>
  <si>
    <t>Inactive Products card shows numeric value.</t>
  </si>
  <si>
    <t>TC-019</t>
  </si>
  <si>
    <t>Verify Total Stock Quantity card is displayed</t>
  </si>
  <si>
    <t>Total Stock Quantity card shows numeric value.</t>
  </si>
  <si>
    <t>TC-020</t>
  </si>
  <si>
    <t>Verify Low-Stock Products card is displayed</t>
  </si>
  <si>
    <t>Low-Stock Products card shows numeric value.</t>
  </si>
  <si>
    <t>TC-021</t>
  </si>
  <si>
    <t>Verify Out-of-Stock Products card is displayed</t>
  </si>
  <si>
    <t>Out-of-Stock Products card shows numeric value.</t>
  </si>
  <si>
    <t>TC-022</t>
  </si>
  <si>
    <t>TS-DASH-006</t>
  </si>
  <si>
    <t>Verify Refresh button reloads dashboard data</t>
  </si>
  <si>
    <t>1. Open Dashboard
2. Click Refresh button
3. Observe loading and refreshed data</t>
  </si>
  <si>
    <t>Dashboard summary reloads successfully without page error.</t>
  </si>
  <si>
    <t>Low</t>
  </si>
  <si>
    <t>TC-023</t>
  </si>
  <si>
    <t>TS-DASH-005</t>
  </si>
  <si>
    <t>BR-011;BR-012</t>
  </si>
  <si>
    <t>Verify low-stock and out-of-stock counts follow stock rules</t>
  </si>
  <si>
    <t>Boundary Value Analysis</t>
  </si>
  <si>
    <t>Products exist with quantity 0, 1, 10, and 11</t>
  </si>
  <si>
    <t>1. Create/prepare products with boundary quantities
2. Open Dashboard
3. Compare displayed counts</t>
  </si>
  <si>
    <t>Quantity: 0, 1, 10, 11</t>
  </si>
  <si>
    <t>Quantity 0 is counted as out-of-stock. Quantity 1 and 10 are counted as low-stock. Quantity 11 is not low-stock.</t>
  </si>
  <si>
    <t>Business Rule</t>
  </si>
  <si>
    <t>TC-024</t>
  </si>
  <si>
    <t>TS-PROD-001</t>
  </si>
  <si>
    <t>FR-PROD-001</t>
  </si>
  <si>
    <t>Verify Product List page loads successfully</t>
  </si>
  <si>
    <t>1. Login
2. Open Product List page</t>
  </si>
  <si>
    <t>Product List page is displayed with table, search, filters, and pagination.</t>
  </si>
  <si>
    <t>TC-025</t>
  </si>
  <si>
    <t>TS-PROD-002</t>
  </si>
  <si>
    <t>Verify Product List displays product columns correctly</t>
  </si>
  <si>
    <t>1. Open Product List
2. Observe table columns</t>
  </si>
  <si>
    <t>Table displays ID, name, category, price, quantity, status, created date, and actions according to role.</t>
  </si>
  <si>
    <t>TC-026</t>
  </si>
  <si>
    <t>TS-PROD-003</t>
  </si>
  <si>
    <t>FR-PROD-002</t>
  </si>
  <si>
    <t>BR-001;BR-002</t>
  </si>
  <si>
    <t>Verify Admin can create product with valid data</t>
  </si>
  <si>
    <t>User is logged in as Admin</t>
  </si>
  <si>
    <t>1. Open Create Product page
2. Enter valid product data
3. Click Save
4. Open Product List</t>
  </si>
  <si>
    <t>name=Laptop Dell QA
category=Laptop
price=15000000
quantity=10
status=ACTIVE</t>
  </si>
  <si>
    <t>Product is created successfully and appears in Product List.</t>
  </si>
  <si>
    <t>TC-027</t>
  </si>
  <si>
    <t>TS-PROD-004</t>
  </si>
  <si>
    <t>BR-013</t>
  </si>
  <si>
    <t>Verify Staff cannot access Create Product page</t>
  </si>
  <si>
    <t>Role-Based Access Testing</t>
  </si>
  <si>
    <t>User is logged in as Staff</t>
  </si>
  <si>
    <t>1. Open /products/create directly</t>
  </si>
  <si>
    <t>URL=/products/create</t>
  </si>
  <si>
    <t>Staff is redirected or access is denied. Create form is not accessible.</t>
  </si>
  <si>
    <t>TC-028</t>
  </si>
  <si>
    <t>Verify Staff cannot see Add Product button</t>
  </si>
  <si>
    <t>1. Open Product List
2. Observe action buttons</t>
  </si>
  <si>
    <t>Staff account</t>
  </si>
  <si>
    <t>Add Product button is not displayed.</t>
  </si>
  <si>
    <t>TC-029</t>
  </si>
  <si>
    <t>TS-PROD-005</t>
  </si>
  <si>
    <t>BR-001</t>
  </si>
  <si>
    <t>Verify product name is required</t>
  </si>
  <si>
    <t>1. Open Create Product page
2. Enter test data
3. Click Save</t>
  </si>
  <si>
    <t>name=&lt;empty&gt;
category=Laptop
price=1000000
quantity=1
status=ACTIVE</t>
  </si>
  <si>
    <t>Product is not created. Product name required validation message is displayed.</t>
  </si>
  <si>
    <t>TC-030</t>
  </si>
  <si>
    <t>TS-PROD-006</t>
  </si>
  <si>
    <t>Verify duplicate product name is rejected</t>
  </si>
  <si>
    <t>name=Existing Product Name
category=Laptop
price=1000000
quantity=1
status=ACTIVE</t>
  </si>
  <si>
    <t>Product is not created. Duplicate name error is displayed.</t>
  </si>
  <si>
    <t>TC-031</t>
  </si>
  <si>
    <t>TS-PROD-007</t>
  </si>
  <si>
    <t>Verify category is required</t>
  </si>
  <si>
    <t>name=Mouse QA
category=&lt;empty&gt;
price=1000000
quantity=1
status=ACTIVE</t>
  </si>
  <si>
    <t>Product is not created. Category required validation message is displayed.</t>
  </si>
  <si>
    <t>TC-032</t>
  </si>
  <si>
    <t>TS-PROD-008</t>
  </si>
  <si>
    <t>BR-002</t>
  </si>
  <si>
    <t>Verify price is required</t>
  </si>
  <si>
    <t>name=Mouse QA
category=Accessory
price=&lt;empty&gt;
quantity=1
status=ACTIVE</t>
  </si>
  <si>
    <t>Product is not created. Price required validation message is displayed.</t>
  </si>
  <si>
    <t>TC-033</t>
  </si>
  <si>
    <t>Verify price cannot be 0</t>
  </si>
  <si>
    <t>name=Mouse QA
category=Accessory
price=0
quantity=1
status=ACTIVE</t>
  </si>
  <si>
    <t>Product is not created. Price must be greater than 0.</t>
  </si>
  <si>
    <t>TC-034</t>
  </si>
  <si>
    <t>Verify price cannot be negative</t>
  </si>
  <si>
    <t>name=Mouse QA
category=Accessory
price=-1
quantity=1
status=ACTIVE</t>
  </si>
  <si>
    <t>TC-035</t>
  </si>
  <si>
    <t>TS-PROD-009</t>
  </si>
  <si>
    <t>BR-003</t>
  </si>
  <si>
    <t>Verify initial quantity is required</t>
  </si>
  <si>
    <t>name=Mouse QA
category=Accessory
price=1000000
quantity=&lt;empty&gt;
status=ACTIVE</t>
  </si>
  <si>
    <t>Product is not created. Quantity required validation message is displayed.</t>
  </si>
  <si>
    <t>TC-036</t>
  </si>
  <si>
    <t>Verify initial quantity can be 0</t>
  </si>
  <si>
    <t>name=Mouse QA Zero
category=Accessory
price=1000000
quantity=0
status=ACTIVE</t>
  </si>
  <si>
    <t>Product is created successfully with quantity 0.</t>
  </si>
  <si>
    <t>TC-037</t>
  </si>
  <si>
    <t>Verify initial quantity cannot be negative</t>
  </si>
  <si>
    <t>name=Mouse QA Negative
category=Accessory
price=1000000
quantity=-1
status=ACTIVE</t>
  </si>
  <si>
    <t>Product is not created. Quantity must be greater than or equal to 0.</t>
  </si>
  <si>
    <t>TC-038</t>
  </si>
  <si>
    <t>TS-PROD-010</t>
  </si>
  <si>
    <t>FR-PROD-003</t>
  </si>
  <si>
    <t>Verify Admin can update product name, category, price, and status</t>
  </si>
  <si>
    <t>1. Open Product List
2. Click Edit on an existing product
3. Update editable fields
4. Click Save</t>
  </si>
  <si>
    <t>Updated name/category/price/status</t>
  </si>
  <si>
    <t>Product is updated successfully. Product List shows updated information.</t>
  </si>
  <si>
    <t>TC-039</t>
  </si>
  <si>
    <t>TS-PROD-011</t>
  </si>
  <si>
    <t>BR-004</t>
  </si>
  <si>
    <t>Verify quantity cannot be edited directly on Product Edit page</t>
  </si>
  <si>
    <t>Business Rule Testing</t>
  </si>
  <si>
    <t>1. Open Product Edit page
2. Observe quantity field</t>
  </si>
  <si>
    <t>Existing product</t>
  </si>
  <si>
    <t>Quantity is displayed as current quantity but is not editable.</t>
  </si>
  <si>
    <t>TC-040</t>
  </si>
  <si>
    <t>Verify duplicate product name is rejected when updating</t>
  </si>
  <si>
    <t>1. Edit Product A
2. Change name to existing Product B name
3. Click Save</t>
  </si>
  <si>
    <t>Product B name</t>
  </si>
  <si>
    <t>Product update is rejected. Duplicate product name error is displayed.</t>
  </si>
  <si>
    <t>TC-041</t>
  </si>
  <si>
    <t>TS-PROD-012</t>
  </si>
  <si>
    <t>FR-PROD-005</t>
  </si>
  <si>
    <t>BR-008</t>
  </si>
  <si>
    <t>Verify Admin can change product status to INACTIVE</t>
  </si>
  <si>
    <t>1. Edit active product
2. Change status to INACTIVE
3. Save
4. Open Product List</t>
  </si>
  <si>
    <t>Active product</t>
  </si>
  <si>
    <t>Product status changes from ACTIVE to INACTIVE successfully.</t>
  </si>
  <si>
    <t>TC-042</t>
  </si>
  <si>
    <t>Verify Admin can change product status back to ACTIVE</t>
  </si>
  <si>
    <t>1. Edit inactive product
2. Change status to ACTIVE
3. Save
4. Open Product List</t>
  </si>
  <si>
    <t>Inactive product</t>
  </si>
  <si>
    <t>Product status changes from INACTIVE to ACTIVE successfully.</t>
  </si>
  <si>
    <t>TC-043</t>
  </si>
  <si>
    <t>TS-PROD-013</t>
  </si>
  <si>
    <t>FR-PROD-004</t>
  </si>
  <si>
    <t>BR-009;BR-010</t>
  </si>
  <si>
    <t>Verify Admin can delete product with quantity 0 and no history</t>
  </si>
  <si>
    <t>Decision Table Testing</t>
  </si>
  <si>
    <t>1. Create product with quantity 0
2. Do not create transactions
3. Click Delete
4. Confirm deletion</t>
  </si>
  <si>
    <t>quantity=0
no stock-in/out history</t>
  </si>
  <si>
    <t>Product is deleted successfully and no longer appears in Product List.</t>
  </si>
  <si>
    <t>TC-044</t>
  </si>
  <si>
    <t>TS-PROD-014</t>
  </si>
  <si>
    <t>BR-009</t>
  </si>
  <si>
    <t>Verify Admin cannot delete product with quantity greater than 0</t>
  </si>
  <si>
    <t>1. Select product with quantity &gt; 0
2. Click Delete
3. Confirm deletion</t>
  </si>
  <si>
    <t>quantity=5</t>
  </si>
  <si>
    <t>Product is not deleted. Business rule error message is displayed.</t>
  </si>
  <si>
    <t>TC-045</t>
  </si>
  <si>
    <t>TS-PROD-015</t>
  </si>
  <si>
    <t>BR-010</t>
  </si>
  <si>
    <t>Verify Admin cannot delete product with stock-in history</t>
  </si>
  <si>
    <t>1. Select product with quantity 0 but has stock-in history
2. Click Delete
3. Confirm deletion</t>
  </si>
  <si>
    <t>quantity=0
has stock-in history</t>
  </si>
  <si>
    <t>Product is not deleted. Transaction history rule error message is displayed.</t>
  </si>
  <si>
    <t>TC-046</t>
  </si>
  <si>
    <t>Verify Admin cannot delete product with stock-out history</t>
  </si>
  <si>
    <t>1. Select product with quantity 0 but has stock-out history
2. Click Delete
3. Confirm deletion</t>
  </si>
  <si>
    <t>quantity=0
has stock-out history</t>
  </si>
  <si>
    <t>TC-047</t>
  </si>
  <si>
    <t>TS-PROD-016</t>
  </si>
  <si>
    <t>Verify search product by exact name</t>
  </si>
  <si>
    <t>1. Open Product List
2. Enter exact product name in search box
3. Submit search</t>
  </si>
  <si>
    <t>keyword=Laptop Dell QA</t>
  </si>
  <si>
    <t>Only matching product records are displayed.</t>
  </si>
  <si>
    <t>TC-048</t>
  </si>
  <si>
    <t>Verify search product by partial keyword</t>
  </si>
  <si>
    <t>1. Open Product List
2. Enter partial keyword
3. Submit search</t>
  </si>
  <si>
    <t>keyword=Laptop</t>
  </si>
  <si>
    <t>Products containing keyword are displayed.</t>
  </si>
  <si>
    <t>TC-049</t>
  </si>
  <si>
    <t>Verify search product with no matching result</t>
  </si>
  <si>
    <t>Negative Testing</t>
  </si>
  <si>
    <t>1. Open Product List
2. Enter nonexistent keyword
3. Submit search</t>
  </si>
  <si>
    <t>keyword=NoProductXYZ</t>
  </si>
  <si>
    <t>No matching product is displayed. Empty state is shown.</t>
  </si>
  <si>
    <t>TC-050</t>
  </si>
  <si>
    <t>TS-PROD-017</t>
  </si>
  <si>
    <t>Verify filter product by category</t>
  </si>
  <si>
    <t>1. Open Product List
2. Select category filter</t>
  </si>
  <si>
    <t>category=Laptop</t>
  </si>
  <si>
    <t>Only products in selected category are displayed.</t>
  </si>
  <si>
    <t>TC-051</t>
  </si>
  <si>
    <t>Verify filter product by ACTIVE status</t>
  </si>
  <si>
    <t>1. Open Product List
2. Select ACTIVE status filter</t>
  </si>
  <si>
    <t>status=ACTIVE</t>
  </si>
  <si>
    <t>Only ACTIVE products are displayed.</t>
  </si>
  <si>
    <t>TC-052</t>
  </si>
  <si>
    <t>Verify filter product by INACTIVE status</t>
  </si>
  <si>
    <t>1. Open Product List
2. Select INACTIVE status filter</t>
  </si>
  <si>
    <t>status=INACTIVE</t>
  </si>
  <si>
    <t>Only INACTIVE products are displayed.</t>
  </si>
  <si>
    <t>TC-053</t>
  </si>
  <si>
    <t>Verify pagination works on Product List</t>
  </si>
  <si>
    <t>1. Prepare more than one page of products
2. Open Product List
3. Navigate next/previous page</t>
  </si>
  <si>
    <t>More than page size products</t>
  </si>
  <si>
    <t>Pagination changes page and displays correct records.</t>
  </si>
  <si>
    <t>TC-054</t>
  </si>
  <si>
    <t>TS-STIN-001</t>
  </si>
  <si>
    <t>FR-STIN-001</t>
  </si>
  <si>
    <t>Verify Stock-In page loads successfully</t>
  </si>
  <si>
    <t>1. Login
2. Open Stock-In page</t>
  </si>
  <si>
    <t>Existing active product</t>
  </si>
  <si>
    <t>Stock-In page displays product dropdown, quantity field, note field, and submit button.</t>
  </si>
  <si>
    <t>TC-055</t>
  </si>
  <si>
    <t>TS-STIN-002</t>
  </si>
  <si>
    <t>BR-005</t>
  </si>
  <si>
    <t>Verify Admin can create stock-in transaction with valid data</t>
  </si>
  <si>
    <t>User is logged in as Admin; active product exists</t>
  </si>
  <si>
    <t>1. Open Stock-In page
2. Select active product
3. Enter valid quantity
4. Enter note
5. Submit</t>
  </si>
  <si>
    <t>product=Active Product
quantity=5
note=Import from supplier</t>
  </si>
  <si>
    <t>Stock-in succeeds. Success message is displayed. Product quantity increases by 5.</t>
  </si>
  <si>
    <t>TC-056</t>
  </si>
  <si>
    <t>TS-STIN-003</t>
  </si>
  <si>
    <t>Verify Staff can create stock-in transaction with valid data</t>
  </si>
  <si>
    <t>User is logged in as Staff; active product exists</t>
  </si>
  <si>
    <t>1. Open Stock-In page
2. Select active product
3. Enter valid quantity
4. Submit</t>
  </si>
  <si>
    <t>product=Active Product
quantity=5</t>
  </si>
  <si>
    <t>Stock-in succeeds for Staff. Product quantity increases by 5.</t>
  </si>
  <si>
    <t>TC-057</t>
  </si>
  <si>
    <t>TS-STIN-004</t>
  </si>
  <si>
    <t>Verify product is required for stock-in</t>
  </si>
  <si>
    <t>User is logged in; at least one ACTIVE product exists</t>
  </si>
  <si>
    <t>1. Open Stock-In page
2. Leave product empty
3. Enter quantity
4. Submit</t>
  </si>
  <si>
    <t>product=&lt;empty&gt;
quantity=5</t>
  </si>
  <si>
    <t>Stock-in is not submitted. Product required validation message is displayed.</t>
  </si>
  <si>
    <t>TC-058</t>
  </si>
  <si>
    <t>TS-STIN-005</t>
  </si>
  <si>
    <t>Verify quantity is required for stock-in</t>
  </si>
  <si>
    <t>1. Select active product
2. Leave quantity empty
3. Submit</t>
  </si>
  <si>
    <t>product=Active Product
quantity=&lt;empty&gt;</t>
  </si>
  <si>
    <t>Stock-in is not submitted. Quantity required validation message is displayed.</t>
  </si>
  <si>
    <t>TC-059</t>
  </si>
  <si>
    <t>TS-STIN-006</t>
  </si>
  <si>
    <t>Verify stock-in quantity boundary value 0</t>
  </si>
  <si>
    <t>1. Select active product
2. Enter boundary quantity
3. Submit</t>
  </si>
  <si>
    <t>quantity=0</t>
  </si>
  <si>
    <t>Stock-in is rejected. Quantity must be greater than 0.</t>
  </si>
  <si>
    <t>Boundary</t>
  </si>
  <si>
    <t>TC-060</t>
  </si>
  <si>
    <t>Verify stock-in quantity boundary value -1</t>
  </si>
  <si>
    <t>quantity=-1</t>
  </si>
  <si>
    <t>TC-061</t>
  </si>
  <si>
    <t>Verify stock-in quantity boundary value 1</t>
  </si>
  <si>
    <t>quantity=1</t>
  </si>
  <si>
    <t>Stock-in succeeds and product quantity increases by 1.</t>
  </si>
  <si>
    <t>TC-062</t>
  </si>
  <si>
    <t>TS-STIN-007</t>
  </si>
  <si>
    <t>Verify inactive product cannot be selected for stock-in</t>
  </si>
  <si>
    <t>User is logged in; inactive product exists</t>
  </si>
  <si>
    <t>1. Open Stock-In page
2. Check product dropdown</t>
  </si>
  <si>
    <t>inactive product</t>
  </si>
  <si>
    <t>Inactive product is not selectable in dropdown.</t>
  </si>
  <si>
    <t>TC-063</t>
  </si>
  <si>
    <t>Verify backend rejects stock-in with inactive product</t>
  </si>
  <si>
    <t>API / Negative Testing</t>
  </si>
  <si>
    <t>Inactive product exists; token is available</t>
  </si>
  <si>
    <t>1. Send stock-in request with inactive product ID</t>
  </si>
  <si>
    <t>productId=inactiveProductId
quantity=5</t>
  </si>
  <si>
    <t>Request is rejected. Product must be active error is returned.</t>
  </si>
  <si>
    <t>TC-064</t>
  </si>
  <si>
    <t>TS-STIN-008</t>
  </si>
  <si>
    <t>BR-004;BR-005</t>
  </si>
  <si>
    <t>Verify product quantity increases correctly after stock-in</t>
  </si>
  <si>
    <t>Data Integrity Testing</t>
  </si>
  <si>
    <t>1. Record current product quantity
2. Create stock-in quantity 5
3. Reopen Product List
4. Compare new quantity</t>
  </si>
  <si>
    <t>current=10
stock-in=5</t>
  </si>
  <si>
    <t>New product quantity equals 15.</t>
  </si>
  <si>
    <t>Data Integrity</t>
  </si>
  <si>
    <t>TC-065</t>
  </si>
  <si>
    <t>TS-STIN-009</t>
  </si>
  <si>
    <t>FR-STIN-002</t>
  </si>
  <si>
    <t>Verify stock-in transaction is saved in history</t>
  </si>
  <si>
    <t>1. Create stock-in transaction
2. Open Stock-In History
3. Search product name</t>
  </si>
  <si>
    <t>stock-in quantity=5</t>
  </si>
  <si>
    <t>Created transaction appears in Stock-In History with correct product, quantity, note, creator, and created date.</t>
  </si>
  <si>
    <t>TC-066</t>
  </si>
  <si>
    <t>Verify stock-in detail modal displays correct information</t>
  </si>
  <si>
    <t>1. Open Stock-In History
2. Click detail action for transaction</t>
  </si>
  <si>
    <t>existing stock-in transaction</t>
  </si>
  <si>
    <t>Detail modal displays transaction ID, type, product ID, product name, quantity, note, created by, and created date.</t>
  </si>
  <si>
    <t>TC-067</t>
  </si>
  <si>
    <t>Verify stock-in with very large quantity</t>
  </si>
  <si>
    <t>1. Select active product
2. Enter large quantity
3. Submit</t>
  </si>
  <si>
    <t>quantity=999999</t>
  </si>
  <si>
    <t>System handles request according to backend limits without crash. If accepted, quantity increases correctly; if rejected, clear validation message is shown.</t>
  </si>
  <si>
    <t>TC-068</t>
  </si>
  <si>
    <t>NFR-USE-002</t>
  </si>
  <si>
    <t>Verify stock-in success message is displayed</t>
  </si>
  <si>
    <t>UI Testing</t>
  </si>
  <si>
    <t>1. Create valid stock-in transaction
2. Observe message</t>
  </si>
  <si>
    <t>valid stock-in data</t>
  </si>
  <si>
    <t>Success message is displayed after successful stock-in.</t>
  </si>
  <si>
    <t>TC-069</t>
  </si>
  <si>
    <t>TS-STOUT-001</t>
  </si>
  <si>
    <t>FR-STOUT-001</t>
  </si>
  <si>
    <t>Verify Stock-Out page loads successfully</t>
  </si>
  <si>
    <t>1. Login
2. Open Stock-Out page</t>
  </si>
  <si>
    <t>Stock-Out page displays product dropdown, current quantity information, quantity field, reason field, and submit button.</t>
  </si>
  <si>
    <t>TC-070</t>
  </si>
  <si>
    <t>TS-STOUT-002</t>
  </si>
  <si>
    <t>BR-006;BR-007</t>
  </si>
  <si>
    <t>Verify Admin can create stock-out transaction with valid data</t>
  </si>
  <si>
    <t>User is logged in as Admin; active product quantity is enough</t>
  </si>
  <si>
    <t>1. Open Stock-Out page
2. Select active product
3. Enter valid quantity
4. Enter reason
5. Submit</t>
  </si>
  <si>
    <t>current=10
stock-out=3</t>
  </si>
  <si>
    <t>Stock-out succeeds. Product quantity decreases from 10 to 7.</t>
  </si>
  <si>
    <t>TC-071</t>
  </si>
  <si>
    <t>TS-STOUT-003</t>
  </si>
  <si>
    <t>Verify Staff can create stock-out transaction with valid data</t>
  </si>
  <si>
    <t>User is logged in as Staff; active product quantity is enough</t>
  </si>
  <si>
    <t>1. Open Stock-Out page
2. Select active product
3. Enter valid quantity
4. Submit</t>
  </si>
  <si>
    <t>Stock-out succeeds for Staff. Product quantity decreases correctly.</t>
  </si>
  <si>
    <t>TC-072</t>
  </si>
  <si>
    <t>TS-STOUT-004</t>
  </si>
  <si>
    <t>Verify product is required for stock-out</t>
  </si>
  <si>
    <t>1. Open Stock-Out page
2. Leave product empty
3. Enter quantity
4. Submit</t>
  </si>
  <si>
    <t>product=&lt;empty&gt;
quantity=1</t>
  </si>
  <si>
    <t>Stock-out is not submitted. Product required validation message is displayed.</t>
  </si>
  <si>
    <t>TC-073</t>
  </si>
  <si>
    <t>TS-STOUT-005</t>
  </si>
  <si>
    <t>BR-006</t>
  </si>
  <si>
    <t>Verify quantity is required for stock-out</t>
  </si>
  <si>
    <t>Stock-out is not submitted. Quantity required validation message is displayed.</t>
  </si>
  <si>
    <t>TC-074</t>
  </si>
  <si>
    <t>TS-STOUT-006</t>
  </si>
  <si>
    <t>Verify stock-out boundary current 10 quantity 0</t>
  </si>
  <si>
    <t>1. Select product with known current quantity
2. Enter stock-out quantity
3. Submit</t>
  </si>
  <si>
    <t>current quantity=10
stock-out quantity=0</t>
  </si>
  <si>
    <t>Stock-out is rejected. Quantity must be greater than 0.</t>
  </si>
  <si>
    <t>TC-075</t>
  </si>
  <si>
    <t>Verify stock-out boundary current 10 quantity -1</t>
  </si>
  <si>
    <t>current quantity=10
stock-out quantity=-1</t>
  </si>
  <si>
    <t>TC-076</t>
  </si>
  <si>
    <t>TS-STOUT-007</t>
  </si>
  <si>
    <t>Verify stock-out boundary current 10 quantity 1</t>
  </si>
  <si>
    <t>current quantity=10
stock-out quantity=1</t>
  </si>
  <si>
    <t>Stock-out succeeds. Quantity decreases by 1.</t>
  </si>
  <si>
    <t>TC-077</t>
  </si>
  <si>
    <t>Verify stock-out boundary current 10 quantity 10</t>
  </si>
  <si>
    <t>current quantity=10
stock-out quantity=10</t>
  </si>
  <si>
    <t>Stock-out succeeds. Quantity becomes 0.</t>
  </si>
  <si>
    <t>TC-078</t>
  </si>
  <si>
    <t>Verify stock-out boundary current 10 quantity 11</t>
  </si>
  <si>
    <t>current quantity=10
stock-out quantity=11</t>
  </si>
  <si>
    <t>Stock-out is rejected. Quantity cannot exceed current inventory quantity.</t>
  </si>
  <si>
    <t>TC-079</t>
  </si>
  <si>
    <t>TS-STOUT-008</t>
  </si>
  <si>
    <t>Verify inactive product cannot be selected for stock-out</t>
  </si>
  <si>
    <t>1. Open Stock-Out page
2. Check product dropdown</t>
  </si>
  <si>
    <t>TC-080</t>
  </si>
  <si>
    <t>Verify backend rejects stock-out with inactive product</t>
  </si>
  <si>
    <t>1. Send stock-out request with inactive product ID</t>
  </si>
  <si>
    <t>productId=inactiveProductId
quantity=1</t>
  </si>
  <si>
    <t>TC-081</t>
  </si>
  <si>
    <t>TS-STOUT-009</t>
  </si>
  <si>
    <t>BR-004;BR-007</t>
  </si>
  <si>
    <t>Verify product quantity decreases correctly after stock-out</t>
  </si>
  <si>
    <t>Active product quantity is 20</t>
  </si>
  <si>
    <t>1. Record current product quantity
2. Create stock-out quantity 5
3. Reopen Product List
4. Compare new quantity</t>
  </si>
  <si>
    <t>current=20
stock-out=5</t>
  </si>
  <si>
    <t>TC-082</t>
  </si>
  <si>
    <t>TS-STOUT-010</t>
  </si>
  <si>
    <t>FR-STOUT-002</t>
  </si>
  <si>
    <t>Verify stock-out transaction is saved in history</t>
  </si>
  <si>
    <t>A valid stock-out transaction has been created</t>
  </si>
  <si>
    <t>1. Open Stock-Out History
2. Search product name
3. Verify created transaction</t>
  </si>
  <si>
    <t>stock-out quantity=5</t>
  </si>
  <si>
    <t>Created transaction appears in Stock-Out History with correct product, quantity, reason, creator, and created date.</t>
  </si>
  <si>
    <t>TC-083</t>
  </si>
  <si>
    <t>Verify stock-out detail modal displays correct information</t>
  </si>
  <si>
    <t>Existing stock-out transaction exists</t>
  </si>
  <si>
    <t>1. Open Stock-Out History
2. Click detail action</t>
  </si>
  <si>
    <t>existing stock-out transaction</t>
  </si>
  <si>
    <t>Detail modal displays transaction ID, type, product ID, product name, quantity, reason, created by, and created date.</t>
  </si>
  <si>
    <t>TC-084</t>
  </si>
  <si>
    <t>BR-007</t>
  </si>
  <si>
    <t>Verify failed stock-out does not change product quantity</t>
  </si>
  <si>
    <t>Active product quantity is 3</t>
  </si>
  <si>
    <t>1. Record current quantity
2. Try stock-out quantity 5
3. Reopen Product List
4. Compare quantity</t>
  </si>
  <si>
    <t>current=3
stock-out=5</t>
  </si>
  <si>
    <t>Request is rejected and product quantity remains 3.</t>
  </si>
  <si>
    <t>TC-085</t>
  </si>
  <si>
    <t>Verify stock-out error message is clear when quantity exceeds stock</t>
  </si>
  <si>
    <t>1. Select product
2. Enter quantity 5
3. Submit</t>
  </si>
  <si>
    <t>Clear error message is displayed: stock-out quantity cannot exceed current inventory quantity.</t>
  </si>
  <si>
    <t>TC-086</t>
  </si>
  <si>
    <t>TS-HIS-001</t>
  </si>
  <si>
    <t>Verify Stock-In History displays transaction list correctly</t>
  </si>
  <si>
    <t>User is logged in; transactions exist</t>
  </si>
  <si>
    <t>1. Open Stock-In History page
2. Observe transaction table</t>
  </si>
  <si>
    <t>existing stock-in transactions</t>
  </si>
  <si>
    <t>Stock-In History displays ID, type, product name, quantity, note/reason, created by, created date, and action columns.</t>
  </si>
  <si>
    <t>TC-087</t>
  </si>
  <si>
    <t>TS-HIS-002</t>
  </si>
  <si>
    <t>Verify Stock-Out History displays transaction list correctly</t>
  </si>
  <si>
    <t>1. Open Stock-Out History page
2. Observe transaction table</t>
  </si>
  <si>
    <t>existing stock-out transactions</t>
  </si>
  <si>
    <t>Stock-Out History displays ID, type, product name, quantity, note/reason, created by, created date, and action columns.</t>
  </si>
  <si>
    <t>TC-088</t>
  </si>
  <si>
    <t>TS-HIS-003</t>
  </si>
  <si>
    <t>Verify Stock-In History search by product name</t>
  </si>
  <si>
    <t>Stock-in transactions exist</t>
  </si>
  <si>
    <t>1. Open Stock-In History
2. Enter product name
3. Search</t>
  </si>
  <si>
    <t>productName=Laptop</t>
  </si>
  <si>
    <t>Only stock-in transactions matching product name are displayed.</t>
  </si>
  <si>
    <t>TC-089</t>
  </si>
  <si>
    <t>TS-HIS-004</t>
  </si>
  <si>
    <t>Verify Stock-Out History search by product name</t>
  </si>
  <si>
    <t>Stock-out transactions exist</t>
  </si>
  <si>
    <t>1. Open Stock-Out History
2. Enter product name
3. Search</t>
  </si>
  <si>
    <t>Only stock-out transactions matching product name are displayed.</t>
  </si>
  <si>
    <t>TC-090</t>
  </si>
  <si>
    <t>Verify Stock-In History search with no result</t>
  </si>
  <si>
    <t>Stock-in history page is available</t>
  </si>
  <si>
    <t>1. Enter nonexistent product name
2. Search</t>
  </si>
  <si>
    <t>productName=NoProductXYZ</t>
  </si>
  <si>
    <t>Empty state is displayed. No unrelated transaction appears.</t>
  </si>
  <si>
    <t>TC-091</t>
  </si>
  <si>
    <t>Verify Stock-Out History search with no result</t>
  </si>
  <si>
    <t>Stock-out history page is available</t>
  </si>
  <si>
    <t>TC-092</t>
  </si>
  <si>
    <t>TS-HIS-005</t>
  </si>
  <si>
    <t>Verify Stock-In History date range filter</t>
  </si>
  <si>
    <t>Stock-in transactions exist across different dates</t>
  </si>
  <si>
    <t>1. Open Stock-In History
2. Select fromDate and toDate
3. Apply filter</t>
  </si>
  <si>
    <t>fromDate=2026-06-01
toDate=2026-06-30</t>
  </si>
  <si>
    <t>Only stock-in transactions within selected date range are displayed.</t>
  </si>
  <si>
    <t>TC-093</t>
  </si>
  <si>
    <t>TS-HIS-006</t>
  </si>
  <si>
    <t>Verify Stock-Out History date range filter</t>
  </si>
  <si>
    <t>Stock-out transactions exist across different dates</t>
  </si>
  <si>
    <t>1. Open Stock-Out History
2. Select fromDate and toDate
3. Apply filter</t>
  </si>
  <si>
    <t>Only stock-out transactions within selected date range are displayed.</t>
  </si>
  <si>
    <t>TC-094</t>
  </si>
  <si>
    <t>Verify Stock-In History invalid date range behavior</t>
  </si>
  <si>
    <t>Stock-In History page is available</t>
  </si>
  <si>
    <t>1. Select fromDate after toDate
2. Apply filter</t>
  </si>
  <si>
    <t>fromDate=2026-06-30
toDate=2026-06-01</t>
  </si>
  <si>
    <t>System prevents invalid date range or displays clear message. System does not crash.</t>
  </si>
  <si>
    <t>TC-095</t>
  </si>
  <si>
    <t>Verify Stock-Out History invalid date range behavior</t>
  </si>
  <si>
    <t>Stock-Out History page is available</t>
  </si>
  <si>
    <t>TC-096</t>
  </si>
  <si>
    <t>TS-UI-008</t>
  </si>
  <si>
    <t>Verify pagination works in transaction history pages</t>
  </si>
  <si>
    <t>More than one page of transactions exists</t>
  </si>
  <si>
    <t>1. Open history page
2. Navigate next/previous page</t>
  </si>
  <si>
    <t>More than page size records</t>
  </si>
  <si>
    <t>Pagination works and displays correct records.</t>
  </si>
  <si>
    <t>TC-097</t>
  </si>
  <si>
    <t>TS-REP-001</t>
  </si>
  <si>
    <t>FR-REP-001</t>
  </si>
  <si>
    <t>Verify Inventory Report page loads successfully</t>
  </si>
  <si>
    <t>1. Login
2. Open Inventory Report page</t>
  </si>
  <si>
    <t>Inventory Report page displays report table and summary cards.</t>
  </si>
  <si>
    <t>TC-098</t>
  </si>
  <si>
    <t>TS-REP-002</t>
  </si>
  <si>
    <t>Verify inventory report displays product quantity correctly</t>
  </si>
  <si>
    <t>Products exist</t>
  </si>
  <si>
    <t>1. Open Product List and record product quantity
2. Open Inventory Report
3. Compare quantity</t>
  </si>
  <si>
    <t>Product A quantity</t>
  </si>
  <si>
    <t>Inventory report quantity matches product list quantity.</t>
  </si>
  <si>
    <t>TC-099</t>
  </si>
  <si>
    <t>TS-REP-003</t>
  </si>
  <si>
    <t>Verify stock status when quantity is 11</t>
  </si>
  <si>
    <t>Product exists with boundary quantity</t>
  </si>
  <si>
    <t>1. Prepare product with test quantity
2. Open Inventory Report
3. Check stock status</t>
  </si>
  <si>
    <t>quantity=11</t>
  </si>
  <si>
    <t>Stock status is displayed as IN_STOCK.</t>
  </si>
  <si>
    <t>TC-100</t>
  </si>
  <si>
    <t>TS-REP-004</t>
  </si>
  <si>
    <t>Verify stock status when quantity is 10</t>
  </si>
  <si>
    <t>quantity=10</t>
  </si>
  <si>
    <t>Stock status is displayed as LOW_STOCK.</t>
  </si>
  <si>
    <t>TC-101</t>
  </si>
  <si>
    <t>Verify stock status when quantity is 1</t>
  </si>
  <si>
    <t>TC-102</t>
  </si>
  <si>
    <t>TS-REP-005</t>
  </si>
  <si>
    <t>Verify stock status when quantity is 0</t>
  </si>
  <si>
    <t>Stock status is displayed as OUT_OF_STOCK.</t>
  </si>
  <si>
    <t>TC-103</t>
  </si>
  <si>
    <t>TS-REP-006</t>
  </si>
  <si>
    <t>Verify filter inventory report by category</t>
  </si>
  <si>
    <t>Products exist in multiple categories</t>
  </si>
  <si>
    <t>1. Open Inventory Report
2. Select category filter</t>
  </si>
  <si>
    <t>TC-104</t>
  </si>
  <si>
    <t>TS-REP-007</t>
  </si>
  <si>
    <t>Verify filter inventory report by IN_STOCK</t>
  </si>
  <si>
    <t>Products with IN_STOCK exist</t>
  </si>
  <si>
    <t>1. Open Inventory Report
2. Select stock status IN_STOCK</t>
  </si>
  <si>
    <t>stockStatus=IN_STOCK</t>
  </si>
  <si>
    <t>Only products with quantity greater than 10 are displayed.</t>
  </si>
  <si>
    <t>TC-105</t>
  </si>
  <si>
    <t>Verify filter inventory report by LOW_STOCK</t>
  </si>
  <si>
    <t>Products with LOW_STOCK exist</t>
  </si>
  <si>
    <t>1. Open Inventory Report
2. Select stock status LOW_STOCK</t>
  </si>
  <si>
    <t>stockStatus=LOW_STOCK</t>
  </si>
  <si>
    <t>Only products with quantity from 1 to 10 are displayed.</t>
  </si>
  <si>
    <t>TC-106</t>
  </si>
  <si>
    <t>BR-012</t>
  </si>
  <si>
    <t>Verify filter inventory report by OUT_OF_STOCK</t>
  </si>
  <si>
    <t>Products with OUT_OF_STOCK exist</t>
  </si>
  <si>
    <t>1. Open Inventory Report
2. Select stock status OUT_OF_STOCK</t>
  </si>
  <si>
    <t>stockStatus=OUT_OF_STOCK</t>
  </si>
  <si>
    <t>Only products with quantity 0 are displayed.</t>
  </si>
  <si>
    <t>TC-107</t>
  </si>
  <si>
    <t>TS-REP-008</t>
  </si>
  <si>
    <t>Verify report updates after stock-in or stock-out</t>
  </si>
  <si>
    <t>Product exists</t>
  </si>
  <si>
    <t>1. Record inventory report quantity
2. Create stock-in or stock-out
3. Open Inventory Report again</t>
  </si>
  <si>
    <t>stock-in=5 or stock-out=3</t>
  </si>
  <si>
    <t>Inventory report quantity and stock status are updated correctly.</t>
  </si>
  <si>
    <t>TC-108</t>
  </si>
  <si>
    <t>TS-ROLE-001</t>
  </si>
  <si>
    <t>NFR-SEC-003</t>
  </si>
  <si>
    <t>BR-013;BR-015</t>
  </si>
  <si>
    <t>Verify Admin can access all main pages</t>
  </si>
  <si>
    <t>Admin and Staff accounts are available</t>
  </si>
  <si>
    <t>1. Login with required role
2. Open target page or observe target action</t>
  </si>
  <si>
    <t>admin / staff account</t>
  </si>
  <si>
    <t>Admin can access Dashboard, Products, Create Product, Edit Product, Stock-In, Stock-Out, History, and Inventory Report.</t>
  </si>
  <si>
    <t>TC-109</t>
  </si>
  <si>
    <t>TS-ROLE-002</t>
  </si>
  <si>
    <t>Verify Staff can access allowed pages</t>
  </si>
  <si>
    <t>Staff can access Dashboard, Product List, Stock-In, Stock-Out, History, and Inventory Report.</t>
  </si>
  <si>
    <t>TC-110</t>
  </si>
  <si>
    <t>TS-ROLE-003</t>
  </si>
  <si>
    <t>Verify Admin sees Add Product button</t>
  </si>
  <si>
    <t>Add Product button is visible for Admin.</t>
  </si>
  <si>
    <t>TC-111</t>
  </si>
  <si>
    <t>TS-ROLE-004</t>
  </si>
  <si>
    <t>Verify Staff does not see Add Product button</t>
  </si>
  <si>
    <t>Add Product button is hidden for Staff.</t>
  </si>
  <si>
    <t>TC-112</t>
  </si>
  <si>
    <t>TS-ROLE-005</t>
  </si>
  <si>
    <t>Verify Admin sees Edit and Delete product actions</t>
  </si>
  <si>
    <t>Edit and Delete actions are visible for Admin.</t>
  </si>
  <si>
    <t>TC-113</t>
  </si>
  <si>
    <t>TS-ROLE-006</t>
  </si>
  <si>
    <t>Verify Staff does not see Edit and Delete product actions</t>
  </si>
  <si>
    <t>Edit and Delete actions are hidden for Staff.</t>
  </si>
  <si>
    <t>TC-114</t>
  </si>
  <si>
    <t>TS-ROLE-007</t>
  </si>
  <si>
    <t>Verify Staff cannot access product create route directly</t>
  </si>
  <si>
    <t>Staff is redirected or receives access denied.</t>
  </si>
  <si>
    <t>TC-115</t>
  </si>
  <si>
    <t>TS-ROLE-008</t>
  </si>
  <si>
    <t>Verify Staff cannot access product edit route directly</t>
  </si>
  <si>
    <t>TC-116</t>
  </si>
  <si>
    <t>TS-ROLE-009</t>
  </si>
  <si>
    <t>Verify Staff cannot call Admin-only API POST /api/products</t>
  </si>
  <si>
    <t>Staff token is available in Postman</t>
  </si>
  <si>
    <t>1. Send POST /api/products with Staff token</t>
  </si>
  <si>
    <t>Staff token</t>
  </si>
  <si>
    <t>API returns Forbidden or access denied response. Data is not changed.</t>
  </si>
  <si>
    <t>API Authorization</t>
  </si>
  <si>
    <t>TC-117</t>
  </si>
  <si>
    <t>Verify Staff cannot call Admin-only API PUT /api/products/{id}</t>
  </si>
  <si>
    <t>1. Send PUT /api/products/{id} with Staff token</t>
  </si>
  <si>
    <t>TC-118</t>
  </si>
  <si>
    <t>Verify Staff cannot call Admin-only API DELETE /api/products/{id}</t>
  </si>
  <si>
    <t>1. Send DELETE /api/products/{id} with Staff token</t>
  </si>
  <si>
    <t>TC-119</t>
  </si>
  <si>
    <t>Verify invalid or expired token redirects user to Login</t>
  </si>
  <si>
    <t>User token is invalid or expired</t>
  </si>
  <si>
    <t>1. Set invalid token in localStorage
2. Open protected page</t>
  </si>
  <si>
    <t>invalid token</t>
  </si>
  <si>
    <t>Auth data is cleared and user is redirected to Login page.</t>
  </si>
  <si>
    <t>TC-120</t>
  </si>
  <si>
    <t>TS-UI-001</t>
  </si>
  <si>
    <t>NFR-USE-001;NFR-USE-002</t>
  </si>
  <si>
    <t>Verify sidebar menu displays correct navigation items</t>
  </si>
  <si>
    <t>User is logged in; relevant page is available</t>
  </si>
  <si>
    <t>1. Open related page
2. Perform related action
3. Observe UI behavior</t>
  </si>
  <si>
    <t>UI data depends on case</t>
  </si>
  <si>
    <t>Sidebar displays Dashboard, Products, Stock-In, Stock-Out, History, Inventory Report according to user role.</t>
  </si>
  <si>
    <t>TC-121</t>
  </si>
  <si>
    <t>TS-UI-002</t>
  </si>
  <si>
    <t>Verify active menu item is highlighted correctly</t>
  </si>
  <si>
    <t>Correct sidebar menu item is highlighted for current route.</t>
  </si>
  <si>
    <t>TC-122</t>
  </si>
  <si>
    <t>TS-UI-003</t>
  </si>
  <si>
    <t>Verify success messages are displayed after successful actions</t>
  </si>
  <si>
    <t>Success message appears after create/update/delete/stock-in/stock-out success.</t>
  </si>
  <si>
    <t>TC-123</t>
  </si>
  <si>
    <t>TS-UI-004</t>
  </si>
  <si>
    <t>Verify error messages are displayed after failed actions</t>
  </si>
  <si>
    <t>Backend or validation error is displayed clearly to user.</t>
  </si>
  <si>
    <t>TC-124</t>
  </si>
  <si>
    <t>TS-UI-005</t>
  </si>
  <si>
    <t>Verify confirmation modal appears before deleting product</t>
  </si>
  <si>
    <t>Delete confirmation modal is displayed before delete request is sent.</t>
  </si>
  <si>
    <t>TC-125</t>
  </si>
  <si>
    <t>TS-UI-006</t>
  </si>
  <si>
    <t>Verify loading state appears while fetching data</t>
  </si>
  <si>
    <t>Loading indicator appears during API request.</t>
  </si>
  <si>
    <t>TC-126</t>
  </si>
  <si>
    <t>TS-UI-007</t>
  </si>
  <si>
    <t>Verify empty state appears when table has no data</t>
  </si>
  <si>
    <t>Empty state is displayed for empty list or no search result.</t>
  </si>
  <si>
    <t>TC-127</t>
  </si>
  <si>
    <t>Verify pagination controls are visible when data exceeds page size</t>
  </si>
  <si>
    <t>Pagination controls are displayed and usable.</t>
  </si>
  <si>
    <t>TC-128</t>
  </si>
  <si>
    <t>Verify backend business error is shown on UI</t>
  </si>
  <si>
    <t>A business rule violation exists</t>
  </si>
  <si>
    <t>1. Perform action that violates business rule
2. Observe error message</t>
  </si>
  <si>
    <t>Example: delete product with quantity &gt; 0</t>
  </si>
  <si>
    <t>Clear backend error message is displayed to user.</t>
  </si>
  <si>
    <t>TC-129</t>
  </si>
  <si>
    <t>NFR-USE-001</t>
  </si>
  <si>
    <t>Verify application does not show raw technical error to user</t>
  </si>
  <si>
    <t>Backend returns unexpected error</t>
  </si>
  <si>
    <t>1. Simulate failed API request
2. Observe UI error handling</t>
  </si>
  <si>
    <t>Network/API error</t>
  </si>
  <si>
    <t>User-friendly error message is displayed. Raw stack trace is not shown.</t>
  </si>
  <si>
    <t>Data ID</t>
  </si>
  <si>
    <t>Data Type</t>
  </si>
  <si>
    <t>Value / Example</t>
  </si>
  <si>
    <t>Purpose</t>
  </si>
  <si>
    <t>Related Module</t>
  </si>
  <si>
    <t>TD-001</t>
  </si>
  <si>
    <t>Admin Account</t>
  </si>
  <si>
    <t>Login and Admin permission tests</t>
  </si>
  <si>
    <t>Authentication, Role-Based Access</t>
  </si>
  <si>
    <t>Seed account</t>
  </si>
  <si>
    <t>TD-002</t>
  </si>
  <si>
    <t>Staff Account</t>
  </si>
  <si>
    <t>staff / 123456</t>
  </si>
  <si>
    <t>Login and Staff permission tests</t>
  </si>
  <si>
    <t>TD-003</t>
  </si>
  <si>
    <t>Valid Product</t>
  </si>
  <si>
    <t>Laptop Dell QA, Laptop, 15000000, 10, ACTIVE</t>
  </si>
  <si>
    <t>Create product positive case</t>
  </si>
  <si>
    <t>Name should be unique before execution</t>
  </si>
  <si>
    <t>TD-004</t>
  </si>
  <si>
    <t>Duplicate Product</t>
  </si>
  <si>
    <t>Existing product name</t>
  </si>
  <si>
    <t>Duplicate name validation</t>
  </si>
  <si>
    <t>Use a product that already exists</t>
  </si>
  <si>
    <t>TD-005</t>
  </si>
  <si>
    <t>Inactive Product</t>
  </si>
  <si>
    <t>Product status INACTIVE</t>
  </si>
  <si>
    <t>Inactive product business rule</t>
  </si>
  <si>
    <t>Stock-In, Stock-Out</t>
  </si>
  <si>
    <t>Cannot be used in new transactions</t>
  </si>
  <si>
    <t>TD-006</t>
  </si>
  <si>
    <t>Out-of-stock Product</t>
  </si>
  <si>
    <t>Quantity = 0</t>
  </si>
  <si>
    <t>Inventory report and stock-out boundary</t>
  </si>
  <si>
    <t>Inventory Report, Stock-Out</t>
  </si>
  <si>
    <t>OUT_OF_STOCK</t>
  </si>
  <si>
    <t>TD-007</t>
  </si>
  <si>
    <t>Low-stock Product Lower Boundary</t>
  </si>
  <si>
    <t>Quantity = 1</t>
  </si>
  <si>
    <t>Low-stock boundary</t>
  </si>
  <si>
    <t>Dashboard, Inventory Report</t>
  </si>
  <si>
    <t>LOW_STOCK</t>
  </si>
  <si>
    <t>TD-008</t>
  </si>
  <si>
    <t>Low-stock Product Upper Boundary</t>
  </si>
  <si>
    <t>Quantity = 10</t>
  </si>
  <si>
    <t>TD-009</t>
  </si>
  <si>
    <t>In-stock Product Boundary</t>
  </si>
  <si>
    <t>Quantity = 11</t>
  </si>
  <si>
    <t>In-stock boundary</t>
  </si>
  <si>
    <t>IN_STOCK</t>
  </si>
  <si>
    <t>TD-010</t>
  </si>
  <si>
    <t>Invalid Price Zero</t>
  </si>
  <si>
    <t>0</t>
  </si>
  <si>
    <t>Price boundary validation</t>
  </si>
  <si>
    <t>Rejected</t>
  </si>
  <si>
    <t>TD-011</t>
  </si>
  <si>
    <t>Invalid Price Negative</t>
  </si>
  <si>
    <t>-1</t>
  </si>
  <si>
    <t>TD-012</t>
  </si>
  <si>
    <t>Invalid Quantity Zero</t>
  </si>
  <si>
    <t>Stock-in/out quantity validation</t>
  </si>
  <si>
    <t>Rejected for transaction quantity</t>
  </si>
  <si>
    <t>TD-013</t>
  </si>
  <si>
    <t>Invalid Quantity Negative</t>
  </si>
  <si>
    <t>Quantity validation</t>
  </si>
  <si>
    <t>Product Management, Stock-In, Stock-Out</t>
  </si>
  <si>
    <t>TD-014</t>
  </si>
  <si>
    <t>Stock-out Exceeds Stock</t>
  </si>
  <si>
    <t>current=3, stock-out=5</t>
  </si>
  <si>
    <t>Stock-out business rule</t>
  </si>
  <si>
    <t>Rejected and quantity unchanged</t>
  </si>
  <si>
    <t>TD-015</t>
  </si>
  <si>
    <t>Date Range Valid</t>
  </si>
  <si>
    <t>2026-06-01 to 2026-06-30</t>
  </si>
  <si>
    <t>History filter</t>
  </si>
  <si>
    <t>Expected records within range</t>
  </si>
  <si>
    <t>TD-016</t>
  </si>
  <si>
    <t>Date Range Invalid</t>
  </si>
  <si>
    <t>2026-06-30 to 2026-06-01</t>
  </si>
  <si>
    <t>Error guessing for filters</t>
  </si>
  <si>
    <t>Should be handled gracefully</t>
  </si>
  <si>
    <t>TD-017</t>
  </si>
  <si>
    <t>SQL Injection-like Text</t>
  </si>
  <si>
    <t>' OR '1'='1</t>
  </si>
  <si>
    <t>Security negative testing</t>
  </si>
  <si>
    <t>Should not bypass login</t>
  </si>
  <si>
    <t>TD-018</t>
  </si>
  <si>
    <t>No Result Keyword</t>
  </si>
  <si>
    <t>NoProductXYZ</t>
  </si>
  <si>
    <t>Empty state verification</t>
  </si>
  <si>
    <t>Product Management, History</t>
  </si>
  <si>
    <t>No matching records</t>
  </si>
  <si>
    <t>Technique</t>
  </si>
  <si>
    <t>How it is used in this workbook</t>
  </si>
  <si>
    <t>Example in StockFlow</t>
  </si>
  <si>
    <t>Split input data into valid and invalid groups.</t>
  </si>
  <si>
    <t>Valid login vs invalid username/password; active vs inactive product.</t>
  </si>
  <si>
    <t>Test values at and around boundaries.</t>
  </si>
  <si>
    <t>Price 0/-1; quantity 0/1/10/11; stock-out equal to current stock and greater than current stock.</t>
  </si>
  <si>
    <t>Combine conditions and actions for business rules.</t>
  </si>
  <si>
    <t>Delete product: quantity &gt; 0, has history, quantity = 0 and no history.</t>
  </si>
  <si>
    <t>Verify behavior when system changes state.</t>
  </si>
  <si>
    <t>Login -&gt; logged in -&gt; logout; product ACTIVE -&gt; INACTIVE -&gt; ACTIVE.</t>
  </si>
  <si>
    <t>Verify complete user flows.</t>
  </si>
  <si>
    <t>Create product; create stock-in; create stock-out; view report.</t>
  </si>
  <si>
    <t>Use experience to test likely error-prone cases.</t>
  </si>
  <si>
    <t>Blank spaces, SQL injection-like input, invalid date range, network/API error.</t>
  </si>
  <si>
    <t>Verify permissions by role.</t>
  </si>
  <si>
    <t>Admin can create/edit/delete products; Staff cannot access Admin-only actions.</t>
  </si>
  <si>
    <t>Verify UI/API actions produce correct database or data changes.</t>
  </si>
  <si>
    <t>Quantity increases/decreases correctly; failed stock-out does not change quantity.</t>
  </si>
  <si>
    <t>Verify visual states and messages.</t>
  </si>
  <si>
    <t>Loading state, empty state, confirmation modal, active sidebar menu.</t>
  </si>
  <si>
    <t>Verify required fields and invalid values.</t>
  </si>
  <si>
    <t>Required username/password/product fields; invalid price and quantity.</t>
  </si>
  <si>
    <t>Retest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</si>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</sst>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3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7">
    <dxf>
      <font>
        <color rgb="FF666666"/>
      </font>
      <fill>
        <patternFill patternType="solid">
          <bgColor rgb="FFEFEFEF"/>
        </patternFill>
      </fill>
    </dxf>
    <dxf>
      <font>
        <color rgb="FFB45F06"/>
      </font>
      <fill>
        <patternFill patternType="solid">
          <bgColor rgb="FFFCE5CD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ManualTestCasesTable" displayName="ManualTestCasesTable" ref="A1:Q130">
  <tableColumns count="17">
    <tableColumn id="1" name="Test Case ID"/>
    <tableColumn id="2" name="Scenario ID"/>
    <tableColumn id="3" name="Requirement ID"/>
    <tableColumn id="4" name="Business Rule ID"/>
    <tableColumn id="5" name="Module"/>
    <tableColumn id="6" name="Test Case Title"/>
    <tableColumn id="7" name="Test Technique"/>
    <tableColumn id="8" name="Preconditions"/>
    <tableColumn id="9" name="Test Steps"/>
    <tableColumn id="10" name="Test Data"/>
    <tableColumn id="11" name="Expected Result"/>
    <tableColumn id="12" name="Actual Result"/>
    <tableColumn id="13" name="Status"/>
    <tableColumn id="14" name="Priority"/>
    <tableColumn id="15" name="Test Type"/>
    <tableColumn id="16" name="Environment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DataTable" displayName="TestDataTable" ref="A1:F19">
  <tableColumns count="6">
    <tableColumn id="1" name="Data ID"/>
    <tableColumn id="2" name="Data Type"/>
    <tableColumn id="3" name="Value / Example"/>
    <tableColumn id="4" name="Purpose"/>
    <tableColumn id="5" name="Related Module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chniqueTable" displayName="TechniqueTable" ref="A1:C11">
  <tableColumns count="3">
    <tableColumn id="1" name="Technique"/>
    <tableColumn id="2" name="How it is used in this workbook"/>
    <tableColumn id="3" name="Example in StockFl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C15" sqref="C15"/>
    </sheetView>
  </sheetViews>
  <sheetFormatPr defaultRowHeight="14.25"/>
  <cols>
    <col min="1" max="3" width="24" customWidth="1"/>
    <col min="5" max="8" width="22" customWidth="1"/>
  </cols>
  <sheetData>
    <row r="1" spans="1:8" ht="27.95" customHeight="1">
      <c r="A1" s="8" t="s">
        <v>0</v>
      </c>
      <c r="B1" s="9"/>
      <c r="C1" s="9"/>
      <c r="D1" s="9"/>
      <c r="E1" s="9"/>
      <c r="F1" s="9"/>
      <c r="G1" s="9"/>
      <c r="H1" s="9"/>
    </row>
    <row r="3" spans="1:8" ht="15">
      <c r="A3" s="1" t="s">
        <v>1</v>
      </c>
      <c r="B3" s="1" t="s">
        <v>2</v>
      </c>
      <c r="C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>
      <c r="A4" s="2" t="s">
        <v>8</v>
      </c>
      <c r="B4" s="2">
        <f>COUNTA('Manual Test Cases'!A2:A1000)</f>
        <v>129</v>
      </c>
      <c r="C4" s="2" t="s">
        <v>9</v>
      </c>
      <c r="E4" s="2" t="s">
        <v>10</v>
      </c>
      <c r="F4" s="2">
        <f>COUNTIF('Manual Test Cases'!E:E,E4)</f>
        <v>14</v>
      </c>
      <c r="G4" s="2">
        <f>COUNTIFS('Manual Test Cases'!E:E,E4,'Manual Test Cases'!N:N,"High")</f>
        <v>13</v>
      </c>
      <c r="H4" s="2">
        <f>COUNTIF('Manual Test Cases'!E:E,E4)-G4</f>
        <v>1</v>
      </c>
    </row>
    <row r="5" spans="1:8">
      <c r="A5" s="2" t="s">
        <v>11</v>
      </c>
      <c r="B5" s="2">
        <f>COUNTIF('Manual Test Cases'!N2:N1000,"High")</f>
        <v>82</v>
      </c>
      <c r="C5" s="2" t="s">
        <v>12</v>
      </c>
      <c r="E5" s="2" t="s">
        <v>13</v>
      </c>
      <c r="F5" s="2">
        <f>COUNTIF('Manual Test Cases'!E:E,E5)</f>
        <v>9</v>
      </c>
      <c r="G5" s="2">
        <f>COUNTIFS('Manual Test Cases'!E:E,E5,'Manual Test Cases'!N:N,"High")</f>
        <v>1</v>
      </c>
      <c r="H5" s="2">
        <f>COUNTIF('Manual Test Cases'!E:E,E5)-G5</f>
        <v>8</v>
      </c>
    </row>
    <row r="6" spans="1:8">
      <c r="A6" s="2" t="s">
        <v>14</v>
      </c>
      <c r="B6" s="2">
        <f>COUNTIF('Manual Test Cases'!N2:N1000,"Medium")</f>
        <v>41</v>
      </c>
      <c r="C6" s="2"/>
      <c r="E6" s="2" t="s">
        <v>15</v>
      </c>
      <c r="F6" s="2">
        <f>COUNTIF('Manual Test Cases'!E:E,E6)</f>
        <v>11</v>
      </c>
      <c r="G6" s="2">
        <f>COUNTIFS('Manual Test Cases'!E:E,E6,'Manual Test Cases'!N:N,"High")</f>
        <v>6</v>
      </c>
      <c r="H6" s="2">
        <f>COUNTIF('Manual Test Cases'!E:E,E6)-G6</f>
        <v>5</v>
      </c>
    </row>
    <row r="7" spans="1:8">
      <c r="A7" s="2" t="s">
        <v>16</v>
      </c>
      <c r="B7" s="2">
        <f>COUNTIF('Manual Test Cases'!N2:N1000,"Low")</f>
        <v>6</v>
      </c>
      <c r="C7" s="2"/>
      <c r="E7" s="2" t="s">
        <v>17</v>
      </c>
      <c r="F7" s="2">
        <f>COUNTIF('Manual Test Cases'!E:E,E7)</f>
        <v>30</v>
      </c>
      <c r="G7" s="2">
        <f>COUNTIFS('Manual Test Cases'!E:E,E7,'Manual Test Cases'!N:N,"High")</f>
        <v>21</v>
      </c>
      <c r="H7" s="2">
        <f>COUNTIF('Manual Test Cases'!E:E,E7)-G7</f>
        <v>9</v>
      </c>
    </row>
    <row r="8" spans="1:8">
      <c r="A8" s="2" t="s">
        <v>18</v>
      </c>
      <c r="B8" s="2">
        <f>COUNTIF('Manual Test Cases'!M2:M1000,"Not Run")</f>
        <v>129</v>
      </c>
      <c r="C8" s="2" t="s">
        <v>19</v>
      </c>
      <c r="E8" s="2" t="s">
        <v>20</v>
      </c>
      <c r="F8" s="2">
        <f>COUNTIF('Manual Test Cases'!E:E,E8)</f>
        <v>12</v>
      </c>
      <c r="G8" s="2">
        <f>COUNTIFS('Manual Test Cases'!E:E,E8,'Manual Test Cases'!N:N,"High")</f>
        <v>12</v>
      </c>
      <c r="H8" s="2">
        <f>COUNTIF('Manual Test Cases'!E:E,E8)-G8</f>
        <v>0</v>
      </c>
    </row>
    <row r="9" spans="1:8">
      <c r="A9" s="2" t="s">
        <v>21</v>
      </c>
      <c r="B9" s="2">
        <f>COUNTIF('Manual Test Cases'!M2:M1000,"Pass")</f>
        <v>0</v>
      </c>
      <c r="C9" s="2"/>
      <c r="E9" s="2" t="s">
        <v>22</v>
      </c>
      <c r="F9" s="2">
        <f>COUNTIF('Manual Test Cases'!E:E,E9)</f>
        <v>15</v>
      </c>
      <c r="G9" s="2">
        <f>COUNTIFS('Manual Test Cases'!E:E,E9,'Manual Test Cases'!N:N,"High")</f>
        <v>12</v>
      </c>
      <c r="H9" s="2">
        <f>COUNTIF('Manual Test Cases'!E:E,E9)-G9</f>
        <v>3</v>
      </c>
    </row>
    <row r="10" spans="1:8">
      <c r="A10" s="2" t="s">
        <v>23</v>
      </c>
      <c r="B10" s="2">
        <f>COUNTIF('Manual Test Cases'!M2:M1000,"Fail")</f>
        <v>0</v>
      </c>
      <c r="C10" s="2"/>
      <c r="E10" s="2" t="s">
        <v>24</v>
      </c>
      <c r="F10" s="2">
        <f>COUNTIF('Manual Test Cases'!E:E,E10)</f>
        <v>17</v>
      </c>
      <c r="G10" s="2">
        <f>COUNTIFS('Manual Test Cases'!E:E,E10,'Manual Test Cases'!N:N,"High")</f>
        <v>16</v>
      </c>
      <c r="H10" s="2">
        <f>COUNTIF('Manual Test Cases'!E:E,E10)-G10</f>
        <v>1</v>
      </c>
    </row>
    <row r="11" spans="1:8">
      <c r="A11" s="2" t="s">
        <v>25</v>
      </c>
      <c r="B11" s="2">
        <f>COUNTIF('Manual Test Cases'!M2:M1000,"Blocked")</f>
        <v>0</v>
      </c>
      <c r="C11" s="2"/>
      <c r="E11" s="2" t="s">
        <v>26</v>
      </c>
      <c r="F11" s="2">
        <f>COUNTIF('Manual Test Cases'!E:E,E11)</f>
        <v>11</v>
      </c>
      <c r="G11" s="2">
        <f>COUNTIFS('Manual Test Cases'!E:E,E11,'Manual Test Cases'!N:N,"High")</f>
        <v>0</v>
      </c>
      <c r="H11" s="2">
        <f>COUNTIF('Manual Test Cases'!E:E,E11)-G11</f>
        <v>11</v>
      </c>
    </row>
    <row r="12" spans="1:8">
      <c r="E12" s="2" t="s">
        <v>27</v>
      </c>
      <c r="F12" s="2">
        <f>COUNTIF('Manual Test Cases'!E:E,E12)</f>
        <v>10</v>
      </c>
      <c r="G12" s="2">
        <f>COUNTIFS('Manual Test Cases'!E:E,E12,'Manual Test Cases'!N:N,"High")</f>
        <v>1</v>
      </c>
      <c r="H12" s="2">
        <f>COUNTIF('Manual Test Cases'!E:E,E12)-G12</f>
        <v>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0"/>
  <sheetViews>
    <sheetView workbookViewId="0"/>
  </sheetViews>
  <sheetFormatPr defaultRowHeight="14.25"/>
  <cols>
    <col min="1" max="1" width="14" customWidth="1"/>
    <col min="2" max="2" width="16" customWidth="1"/>
    <col min="3" max="4" width="18" customWidth="1"/>
    <col min="5" max="5" width="20" customWidth="1"/>
    <col min="6" max="6" width="38" customWidth="1"/>
    <col min="7" max="7" width="22" customWidth="1"/>
    <col min="8" max="8" width="32" customWidth="1"/>
    <col min="9" max="9" width="42" customWidth="1"/>
    <col min="10" max="10" width="28" customWidth="1"/>
    <col min="11" max="11" width="44" customWidth="1"/>
    <col min="12" max="12" width="22" customWidth="1"/>
    <col min="13" max="13" width="14" customWidth="1"/>
    <col min="14" max="14" width="12" customWidth="1"/>
    <col min="15" max="16" width="18" customWidth="1"/>
    <col min="17" max="17" width="30" customWidth="1"/>
  </cols>
  <sheetData>
    <row r="1" spans="1:17" ht="27.95" customHeight="1">
      <c r="A1" s="3" t="s">
        <v>28</v>
      </c>
      <c r="B1" s="3" t="s">
        <v>29</v>
      </c>
      <c r="C1" s="3" t="s">
        <v>30</v>
      </c>
      <c r="D1" s="3" t="s">
        <v>31</v>
      </c>
      <c r="E1" s="3" t="s">
        <v>4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3</v>
      </c>
    </row>
    <row r="2" spans="1:17" ht="28.5">
      <c r="A2" s="6" t="s">
        <v>43</v>
      </c>
      <c r="B2" s="6" t="s">
        <v>44</v>
      </c>
      <c r="C2" s="6" t="s">
        <v>45</v>
      </c>
      <c r="D2" s="6"/>
      <c r="E2" s="5" t="s">
        <v>10</v>
      </c>
      <c r="F2" s="5" t="s">
        <v>46</v>
      </c>
      <c r="G2" s="6" t="s">
        <v>47</v>
      </c>
      <c r="H2" s="5" t="s">
        <v>48</v>
      </c>
      <c r="I2" s="5" t="s">
        <v>49</v>
      </c>
      <c r="J2" s="5" t="s">
        <v>50</v>
      </c>
      <c r="K2" s="5" t="s">
        <v>51</v>
      </c>
      <c r="L2" s="5"/>
      <c r="M2" s="6" t="s">
        <v>18</v>
      </c>
      <c r="N2" s="6" t="s">
        <v>6</v>
      </c>
      <c r="O2" s="6" t="s">
        <v>52</v>
      </c>
      <c r="P2" s="6" t="s">
        <v>53</v>
      </c>
      <c r="Q2" s="5"/>
    </row>
    <row r="3" spans="1:17" ht="42.75">
      <c r="A3" s="6" t="s">
        <v>54</v>
      </c>
      <c r="B3" s="6" t="s">
        <v>55</v>
      </c>
      <c r="C3" s="6" t="s">
        <v>45</v>
      </c>
      <c r="D3" s="6"/>
      <c r="E3" s="5" t="s">
        <v>10</v>
      </c>
      <c r="F3" s="5" t="s">
        <v>56</v>
      </c>
      <c r="G3" s="6" t="s">
        <v>57</v>
      </c>
      <c r="H3" s="5" t="s">
        <v>48</v>
      </c>
      <c r="I3" s="5" t="s">
        <v>58</v>
      </c>
      <c r="J3" s="5" t="s">
        <v>59</v>
      </c>
      <c r="K3" s="5" t="s">
        <v>60</v>
      </c>
      <c r="L3" s="5"/>
      <c r="M3" s="6" t="s">
        <v>18</v>
      </c>
      <c r="N3" s="6" t="s">
        <v>6</v>
      </c>
      <c r="O3" s="6" t="s">
        <v>61</v>
      </c>
      <c r="P3" s="6" t="s">
        <v>53</v>
      </c>
      <c r="Q3" s="5"/>
    </row>
    <row r="4" spans="1:17" ht="42.75">
      <c r="A4" s="6" t="s">
        <v>62</v>
      </c>
      <c r="B4" s="6" t="s">
        <v>63</v>
      </c>
      <c r="C4" s="6" t="s">
        <v>45</v>
      </c>
      <c r="D4" s="6"/>
      <c r="E4" s="5" t="s">
        <v>10</v>
      </c>
      <c r="F4" s="5" t="s">
        <v>64</v>
      </c>
      <c r="G4" s="6" t="s">
        <v>57</v>
      </c>
      <c r="H4" s="5" t="s">
        <v>48</v>
      </c>
      <c r="I4" s="5" t="s">
        <v>65</v>
      </c>
      <c r="J4" s="5" t="s">
        <v>66</v>
      </c>
      <c r="K4" s="5" t="s">
        <v>67</v>
      </c>
      <c r="L4" s="5"/>
      <c r="M4" s="6" t="s">
        <v>18</v>
      </c>
      <c r="N4" s="6" t="s">
        <v>6</v>
      </c>
      <c r="O4" s="6" t="s">
        <v>61</v>
      </c>
      <c r="P4" s="6" t="s">
        <v>53</v>
      </c>
      <c r="Q4" s="5"/>
    </row>
    <row r="5" spans="1:17" ht="42.75">
      <c r="A5" s="6" t="s">
        <v>68</v>
      </c>
      <c r="B5" s="6" t="s">
        <v>69</v>
      </c>
      <c r="C5" s="6" t="s">
        <v>45</v>
      </c>
      <c r="D5" s="6"/>
      <c r="E5" s="5" t="s">
        <v>10</v>
      </c>
      <c r="F5" s="5" t="s">
        <v>70</v>
      </c>
      <c r="G5" s="6" t="s">
        <v>57</v>
      </c>
      <c r="H5" s="5" t="s">
        <v>48</v>
      </c>
      <c r="I5" s="5" t="s">
        <v>71</v>
      </c>
      <c r="J5" s="5" t="s">
        <v>72</v>
      </c>
      <c r="K5" s="5" t="s">
        <v>73</v>
      </c>
      <c r="L5" s="5"/>
      <c r="M5" s="6" t="s">
        <v>18</v>
      </c>
      <c r="N5" s="6" t="s">
        <v>6</v>
      </c>
      <c r="O5" s="6" t="s">
        <v>74</v>
      </c>
      <c r="P5" s="6" t="s">
        <v>53</v>
      </c>
      <c r="Q5" s="5"/>
    </row>
    <row r="6" spans="1:17" ht="42.75">
      <c r="A6" s="6" t="s">
        <v>75</v>
      </c>
      <c r="B6" s="6" t="s">
        <v>76</v>
      </c>
      <c r="C6" s="6" t="s">
        <v>45</v>
      </c>
      <c r="D6" s="6"/>
      <c r="E6" s="5" t="s">
        <v>10</v>
      </c>
      <c r="F6" s="5" t="s">
        <v>77</v>
      </c>
      <c r="G6" s="6" t="s">
        <v>57</v>
      </c>
      <c r="H6" s="5" t="s">
        <v>48</v>
      </c>
      <c r="I6" s="5" t="s">
        <v>78</v>
      </c>
      <c r="J6" s="5" t="s">
        <v>79</v>
      </c>
      <c r="K6" s="5" t="s">
        <v>73</v>
      </c>
      <c r="L6" s="5"/>
      <c r="M6" s="6" t="s">
        <v>18</v>
      </c>
      <c r="N6" s="6" t="s">
        <v>6</v>
      </c>
      <c r="O6" s="6" t="s">
        <v>74</v>
      </c>
      <c r="P6" s="6" t="s">
        <v>53</v>
      </c>
      <c r="Q6" s="5"/>
    </row>
    <row r="7" spans="1:17" ht="42.75">
      <c r="A7" s="6" t="s">
        <v>80</v>
      </c>
      <c r="B7" s="6" t="s">
        <v>81</v>
      </c>
      <c r="C7" s="6" t="s">
        <v>45</v>
      </c>
      <c r="D7" s="6"/>
      <c r="E7" s="5" t="s">
        <v>10</v>
      </c>
      <c r="F7" s="5" t="s">
        <v>82</v>
      </c>
      <c r="G7" s="6" t="s">
        <v>83</v>
      </c>
      <c r="H7" s="5" t="s">
        <v>48</v>
      </c>
      <c r="I7" s="5" t="s">
        <v>84</v>
      </c>
      <c r="J7" s="5" t="s">
        <v>85</v>
      </c>
      <c r="K7" s="5" t="s">
        <v>86</v>
      </c>
      <c r="L7" s="5"/>
      <c r="M7" s="6" t="s">
        <v>18</v>
      </c>
      <c r="N7" s="6" t="s">
        <v>6</v>
      </c>
      <c r="O7" s="6" t="s">
        <v>87</v>
      </c>
      <c r="P7" s="6" t="s">
        <v>53</v>
      </c>
      <c r="Q7" s="5"/>
    </row>
    <row r="8" spans="1:17" ht="42.75">
      <c r="A8" s="6" t="s">
        <v>88</v>
      </c>
      <c r="B8" s="6" t="s">
        <v>81</v>
      </c>
      <c r="C8" s="6" t="s">
        <v>45</v>
      </c>
      <c r="D8" s="6"/>
      <c r="E8" s="5" t="s">
        <v>10</v>
      </c>
      <c r="F8" s="5" t="s">
        <v>89</v>
      </c>
      <c r="G8" s="6" t="s">
        <v>83</v>
      </c>
      <c r="H8" s="5" t="s">
        <v>48</v>
      </c>
      <c r="I8" s="5" t="s">
        <v>90</v>
      </c>
      <c r="J8" s="5" t="s">
        <v>91</v>
      </c>
      <c r="K8" s="5" t="s">
        <v>92</v>
      </c>
      <c r="L8" s="5"/>
      <c r="M8" s="6" t="s">
        <v>18</v>
      </c>
      <c r="N8" s="6" t="s">
        <v>6</v>
      </c>
      <c r="O8" s="6" t="s">
        <v>87</v>
      </c>
      <c r="P8" s="6" t="s">
        <v>53</v>
      </c>
      <c r="Q8" s="5"/>
    </row>
    <row r="9" spans="1:17" ht="42.75">
      <c r="A9" s="6" t="s">
        <v>93</v>
      </c>
      <c r="B9" s="6" t="s">
        <v>81</v>
      </c>
      <c r="C9" s="6" t="s">
        <v>45</v>
      </c>
      <c r="D9" s="6"/>
      <c r="E9" s="5" t="s">
        <v>10</v>
      </c>
      <c r="F9" s="5" t="s">
        <v>94</v>
      </c>
      <c r="G9" s="6" t="s">
        <v>83</v>
      </c>
      <c r="H9" s="5" t="s">
        <v>48</v>
      </c>
      <c r="I9" s="5" t="s">
        <v>95</v>
      </c>
      <c r="J9" s="5" t="s">
        <v>96</v>
      </c>
      <c r="K9" s="5" t="s">
        <v>97</v>
      </c>
      <c r="L9" s="5"/>
      <c r="M9" s="6" t="s">
        <v>18</v>
      </c>
      <c r="N9" s="6" t="s">
        <v>6</v>
      </c>
      <c r="O9" s="6" t="s">
        <v>87</v>
      </c>
      <c r="P9" s="6" t="s">
        <v>53</v>
      </c>
      <c r="Q9" s="5"/>
    </row>
    <row r="10" spans="1:17" ht="42.75">
      <c r="A10" s="6" t="s">
        <v>98</v>
      </c>
      <c r="B10" s="6" t="s">
        <v>69</v>
      </c>
      <c r="C10" s="6" t="s">
        <v>45</v>
      </c>
      <c r="D10" s="6"/>
      <c r="E10" s="5" t="s">
        <v>10</v>
      </c>
      <c r="F10" s="5" t="s">
        <v>99</v>
      </c>
      <c r="G10" s="6" t="s">
        <v>100</v>
      </c>
      <c r="H10" s="5" t="s">
        <v>48</v>
      </c>
      <c r="I10" s="5" t="s">
        <v>101</v>
      </c>
      <c r="J10" s="5" t="s">
        <v>102</v>
      </c>
      <c r="K10" s="5" t="s">
        <v>103</v>
      </c>
      <c r="L10" s="5"/>
      <c r="M10" s="6" t="s">
        <v>18</v>
      </c>
      <c r="N10" s="6" t="s">
        <v>104</v>
      </c>
      <c r="O10" s="6" t="s">
        <v>74</v>
      </c>
      <c r="P10" s="6" t="s">
        <v>53</v>
      </c>
      <c r="Q10" s="5"/>
    </row>
    <row r="11" spans="1:17" ht="42.75">
      <c r="A11" s="6" t="s">
        <v>105</v>
      </c>
      <c r="B11" s="6" t="s">
        <v>69</v>
      </c>
      <c r="C11" s="6" t="s">
        <v>45</v>
      </c>
      <c r="D11" s="6"/>
      <c r="E11" s="5" t="s">
        <v>10</v>
      </c>
      <c r="F11" s="5" t="s">
        <v>106</v>
      </c>
      <c r="G11" s="6" t="s">
        <v>100</v>
      </c>
      <c r="H11" s="5" t="s">
        <v>48</v>
      </c>
      <c r="I11" s="5" t="s">
        <v>107</v>
      </c>
      <c r="J11" s="5" t="s">
        <v>108</v>
      </c>
      <c r="K11" s="5" t="s">
        <v>109</v>
      </c>
      <c r="L11" s="5"/>
      <c r="M11" s="6" t="s">
        <v>18</v>
      </c>
      <c r="N11" s="6" t="s">
        <v>6</v>
      </c>
      <c r="O11" s="6" t="s">
        <v>110</v>
      </c>
      <c r="P11" s="6" t="s">
        <v>53</v>
      </c>
      <c r="Q11" s="5"/>
    </row>
    <row r="12" spans="1:17" ht="28.5">
      <c r="A12" s="6" t="s">
        <v>111</v>
      </c>
      <c r="B12" s="6" t="s">
        <v>112</v>
      </c>
      <c r="C12" s="6" t="s">
        <v>113</v>
      </c>
      <c r="D12" s="6"/>
      <c r="E12" s="5" t="s">
        <v>10</v>
      </c>
      <c r="F12" s="5" t="s">
        <v>114</v>
      </c>
      <c r="G12" s="6" t="s">
        <v>115</v>
      </c>
      <c r="H12" s="5" t="s">
        <v>116</v>
      </c>
      <c r="I12" s="5" t="s">
        <v>117</v>
      </c>
      <c r="J12" s="5" t="s">
        <v>118</v>
      </c>
      <c r="K12" s="5" t="s">
        <v>119</v>
      </c>
      <c r="L12" s="5"/>
      <c r="M12" s="6" t="s">
        <v>18</v>
      </c>
      <c r="N12" s="6" t="s">
        <v>6</v>
      </c>
      <c r="O12" s="6" t="s">
        <v>120</v>
      </c>
      <c r="P12" s="6" t="s">
        <v>53</v>
      </c>
      <c r="Q12" s="5"/>
    </row>
    <row r="13" spans="1:17" ht="28.5">
      <c r="A13" s="6" t="s">
        <v>121</v>
      </c>
      <c r="B13" s="6" t="s">
        <v>122</v>
      </c>
      <c r="C13" s="6" t="s">
        <v>123</v>
      </c>
      <c r="D13" s="6" t="s">
        <v>124</v>
      </c>
      <c r="E13" s="5" t="s">
        <v>10</v>
      </c>
      <c r="F13" s="5" t="s">
        <v>125</v>
      </c>
      <c r="G13" s="6" t="s">
        <v>115</v>
      </c>
      <c r="H13" s="5" t="s">
        <v>126</v>
      </c>
      <c r="I13" s="5" t="s">
        <v>127</v>
      </c>
      <c r="J13" s="5" t="s">
        <v>128</v>
      </c>
      <c r="K13" s="5" t="s">
        <v>129</v>
      </c>
      <c r="L13" s="5"/>
      <c r="M13" s="6" t="s">
        <v>18</v>
      </c>
      <c r="N13" s="6" t="s">
        <v>6</v>
      </c>
      <c r="O13" s="6" t="s">
        <v>110</v>
      </c>
      <c r="P13" s="6" t="s">
        <v>53</v>
      </c>
      <c r="Q13" s="5"/>
    </row>
    <row r="14" spans="1:17" ht="28.5">
      <c r="A14" s="6" t="s">
        <v>130</v>
      </c>
      <c r="B14" s="6" t="s">
        <v>122</v>
      </c>
      <c r="C14" s="6" t="s">
        <v>123</v>
      </c>
      <c r="D14" s="6" t="s">
        <v>124</v>
      </c>
      <c r="E14" s="5" t="s">
        <v>10</v>
      </c>
      <c r="F14" s="5" t="s">
        <v>131</v>
      </c>
      <c r="G14" s="6" t="s">
        <v>115</v>
      </c>
      <c r="H14" s="5" t="s">
        <v>126</v>
      </c>
      <c r="I14" s="5" t="s">
        <v>132</v>
      </c>
      <c r="J14" s="5" t="s">
        <v>133</v>
      </c>
      <c r="K14" s="5" t="s">
        <v>129</v>
      </c>
      <c r="L14" s="5"/>
      <c r="M14" s="6" t="s">
        <v>18</v>
      </c>
      <c r="N14" s="6" t="s">
        <v>6</v>
      </c>
      <c r="O14" s="6" t="s">
        <v>110</v>
      </c>
      <c r="P14" s="6" t="s">
        <v>53</v>
      </c>
      <c r="Q14" s="5"/>
    </row>
    <row r="15" spans="1:17" ht="28.5">
      <c r="A15" s="6" t="s">
        <v>134</v>
      </c>
      <c r="B15" s="6" t="s">
        <v>122</v>
      </c>
      <c r="C15" s="6" t="s">
        <v>135</v>
      </c>
      <c r="D15" s="6" t="s">
        <v>124</v>
      </c>
      <c r="E15" s="5" t="s">
        <v>10</v>
      </c>
      <c r="F15" s="5" t="s">
        <v>136</v>
      </c>
      <c r="G15" s="6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  <c r="L15" s="5"/>
      <c r="M15" s="6" t="s">
        <v>18</v>
      </c>
      <c r="N15" s="6" t="s">
        <v>6</v>
      </c>
      <c r="O15" s="6" t="s">
        <v>110</v>
      </c>
      <c r="P15" s="6" t="s">
        <v>53</v>
      </c>
      <c r="Q15" s="5" t="s">
        <v>142</v>
      </c>
    </row>
    <row r="16" spans="1:17" ht="42.75">
      <c r="A16" s="6" t="s">
        <v>143</v>
      </c>
      <c r="B16" s="6" t="s">
        <v>144</v>
      </c>
      <c r="C16" s="6" t="s">
        <v>145</v>
      </c>
      <c r="D16" s="6"/>
      <c r="E16" s="5" t="s">
        <v>13</v>
      </c>
      <c r="F16" s="5" t="s">
        <v>146</v>
      </c>
      <c r="G16" s="6" t="s">
        <v>47</v>
      </c>
      <c r="H16" s="5" t="s">
        <v>147</v>
      </c>
      <c r="I16" s="5" t="s">
        <v>148</v>
      </c>
      <c r="J16" s="5" t="s">
        <v>149</v>
      </c>
      <c r="K16" s="5" t="s">
        <v>150</v>
      </c>
      <c r="L16" s="5"/>
      <c r="M16" s="6" t="s">
        <v>18</v>
      </c>
      <c r="N16" s="6" t="s">
        <v>104</v>
      </c>
      <c r="O16" s="6" t="s">
        <v>120</v>
      </c>
      <c r="P16" s="6" t="s">
        <v>53</v>
      </c>
      <c r="Q16" s="5"/>
    </row>
    <row r="17" spans="1:17" ht="42.75">
      <c r="A17" s="6" t="s">
        <v>151</v>
      </c>
      <c r="B17" s="6" t="s">
        <v>144</v>
      </c>
      <c r="C17" s="6" t="s">
        <v>145</v>
      </c>
      <c r="D17" s="6"/>
      <c r="E17" s="5" t="s">
        <v>13</v>
      </c>
      <c r="F17" s="5" t="s">
        <v>152</v>
      </c>
      <c r="G17" s="6" t="s">
        <v>47</v>
      </c>
      <c r="H17" s="5" t="s">
        <v>147</v>
      </c>
      <c r="I17" s="5" t="s">
        <v>148</v>
      </c>
      <c r="J17" s="5" t="s">
        <v>149</v>
      </c>
      <c r="K17" s="5" t="s">
        <v>153</v>
      </c>
      <c r="L17" s="5"/>
      <c r="M17" s="6" t="s">
        <v>18</v>
      </c>
      <c r="N17" s="6" t="s">
        <v>104</v>
      </c>
      <c r="O17" s="6" t="s">
        <v>120</v>
      </c>
      <c r="P17" s="6" t="s">
        <v>53</v>
      </c>
      <c r="Q17" s="5"/>
    </row>
    <row r="18" spans="1:17" ht="42.75">
      <c r="A18" s="6" t="s">
        <v>154</v>
      </c>
      <c r="B18" s="6" t="s">
        <v>144</v>
      </c>
      <c r="C18" s="6" t="s">
        <v>145</v>
      </c>
      <c r="D18" s="6"/>
      <c r="E18" s="5" t="s">
        <v>13</v>
      </c>
      <c r="F18" s="5" t="s">
        <v>155</v>
      </c>
      <c r="G18" s="6" t="s">
        <v>47</v>
      </c>
      <c r="H18" s="5" t="s">
        <v>147</v>
      </c>
      <c r="I18" s="5" t="s">
        <v>148</v>
      </c>
      <c r="J18" s="5" t="s">
        <v>149</v>
      </c>
      <c r="K18" s="5" t="s">
        <v>156</v>
      </c>
      <c r="L18" s="5"/>
      <c r="M18" s="6" t="s">
        <v>18</v>
      </c>
      <c r="N18" s="6" t="s">
        <v>104</v>
      </c>
      <c r="O18" s="6" t="s">
        <v>120</v>
      </c>
      <c r="P18" s="6" t="s">
        <v>53</v>
      </c>
      <c r="Q18" s="5"/>
    </row>
    <row r="19" spans="1:17" ht="42.75">
      <c r="A19" s="6" t="s">
        <v>157</v>
      </c>
      <c r="B19" s="6" t="s">
        <v>144</v>
      </c>
      <c r="C19" s="6" t="s">
        <v>145</v>
      </c>
      <c r="D19" s="6"/>
      <c r="E19" s="5" t="s">
        <v>13</v>
      </c>
      <c r="F19" s="5" t="s">
        <v>158</v>
      </c>
      <c r="G19" s="6" t="s">
        <v>47</v>
      </c>
      <c r="H19" s="5" t="s">
        <v>147</v>
      </c>
      <c r="I19" s="5" t="s">
        <v>148</v>
      </c>
      <c r="J19" s="5" t="s">
        <v>149</v>
      </c>
      <c r="K19" s="5" t="s">
        <v>159</v>
      </c>
      <c r="L19" s="5"/>
      <c r="M19" s="6" t="s">
        <v>18</v>
      </c>
      <c r="N19" s="6" t="s">
        <v>104</v>
      </c>
      <c r="O19" s="6" t="s">
        <v>120</v>
      </c>
      <c r="P19" s="6" t="s">
        <v>53</v>
      </c>
      <c r="Q19" s="5"/>
    </row>
    <row r="20" spans="1:17" ht="42.75">
      <c r="A20" s="6" t="s">
        <v>160</v>
      </c>
      <c r="B20" s="6" t="s">
        <v>144</v>
      </c>
      <c r="C20" s="6" t="s">
        <v>145</v>
      </c>
      <c r="D20" s="6"/>
      <c r="E20" s="5" t="s">
        <v>13</v>
      </c>
      <c r="F20" s="5" t="s">
        <v>161</v>
      </c>
      <c r="G20" s="6" t="s">
        <v>47</v>
      </c>
      <c r="H20" s="5" t="s">
        <v>147</v>
      </c>
      <c r="I20" s="5" t="s">
        <v>148</v>
      </c>
      <c r="J20" s="5" t="s">
        <v>149</v>
      </c>
      <c r="K20" s="5" t="s">
        <v>162</v>
      </c>
      <c r="L20" s="5"/>
      <c r="M20" s="6" t="s">
        <v>18</v>
      </c>
      <c r="N20" s="6" t="s">
        <v>104</v>
      </c>
      <c r="O20" s="6" t="s">
        <v>120</v>
      </c>
      <c r="P20" s="6" t="s">
        <v>53</v>
      </c>
      <c r="Q20" s="5"/>
    </row>
    <row r="21" spans="1:17" ht="42.75">
      <c r="A21" s="6" t="s">
        <v>163</v>
      </c>
      <c r="B21" s="6" t="s">
        <v>144</v>
      </c>
      <c r="C21" s="6" t="s">
        <v>145</v>
      </c>
      <c r="D21" s="6"/>
      <c r="E21" s="5" t="s">
        <v>13</v>
      </c>
      <c r="F21" s="5" t="s">
        <v>164</v>
      </c>
      <c r="G21" s="6" t="s">
        <v>47</v>
      </c>
      <c r="H21" s="5" t="s">
        <v>147</v>
      </c>
      <c r="I21" s="5" t="s">
        <v>148</v>
      </c>
      <c r="J21" s="5" t="s">
        <v>149</v>
      </c>
      <c r="K21" s="5" t="s">
        <v>165</v>
      </c>
      <c r="L21" s="5"/>
      <c r="M21" s="6" t="s">
        <v>18</v>
      </c>
      <c r="N21" s="6" t="s">
        <v>104</v>
      </c>
      <c r="O21" s="6" t="s">
        <v>120</v>
      </c>
      <c r="P21" s="6" t="s">
        <v>53</v>
      </c>
      <c r="Q21" s="5"/>
    </row>
    <row r="22" spans="1:17" ht="42.75">
      <c r="A22" s="6" t="s">
        <v>166</v>
      </c>
      <c r="B22" s="6" t="s">
        <v>144</v>
      </c>
      <c r="C22" s="6" t="s">
        <v>145</v>
      </c>
      <c r="D22" s="6"/>
      <c r="E22" s="5" t="s">
        <v>13</v>
      </c>
      <c r="F22" s="5" t="s">
        <v>167</v>
      </c>
      <c r="G22" s="6" t="s">
        <v>47</v>
      </c>
      <c r="H22" s="5" t="s">
        <v>147</v>
      </c>
      <c r="I22" s="5" t="s">
        <v>148</v>
      </c>
      <c r="J22" s="5" t="s">
        <v>149</v>
      </c>
      <c r="K22" s="5" t="s">
        <v>168</v>
      </c>
      <c r="L22" s="5"/>
      <c r="M22" s="6" t="s">
        <v>18</v>
      </c>
      <c r="N22" s="6" t="s">
        <v>104</v>
      </c>
      <c r="O22" s="6" t="s">
        <v>120</v>
      </c>
      <c r="P22" s="6" t="s">
        <v>53</v>
      </c>
      <c r="Q22" s="5"/>
    </row>
    <row r="23" spans="1:17" ht="42.75">
      <c r="A23" s="6" t="s">
        <v>169</v>
      </c>
      <c r="B23" s="6" t="s">
        <v>170</v>
      </c>
      <c r="C23" s="6" t="s">
        <v>145</v>
      </c>
      <c r="D23" s="6"/>
      <c r="E23" s="5" t="s">
        <v>13</v>
      </c>
      <c r="F23" s="5" t="s">
        <v>171</v>
      </c>
      <c r="G23" s="6" t="s">
        <v>47</v>
      </c>
      <c r="H23" s="5" t="s">
        <v>147</v>
      </c>
      <c r="I23" s="5" t="s">
        <v>172</v>
      </c>
      <c r="J23" s="5" t="s">
        <v>149</v>
      </c>
      <c r="K23" s="5" t="s">
        <v>173</v>
      </c>
      <c r="L23" s="5"/>
      <c r="M23" s="6" t="s">
        <v>18</v>
      </c>
      <c r="N23" s="6" t="s">
        <v>174</v>
      </c>
      <c r="O23" s="6" t="s">
        <v>52</v>
      </c>
      <c r="P23" s="6" t="s">
        <v>53</v>
      </c>
      <c r="Q23" s="5"/>
    </row>
    <row r="24" spans="1:17" ht="57">
      <c r="A24" s="6" t="s">
        <v>175</v>
      </c>
      <c r="B24" s="6" t="s">
        <v>176</v>
      </c>
      <c r="C24" s="6" t="s">
        <v>145</v>
      </c>
      <c r="D24" s="6" t="s">
        <v>177</v>
      </c>
      <c r="E24" s="5" t="s">
        <v>13</v>
      </c>
      <c r="F24" s="5" t="s">
        <v>178</v>
      </c>
      <c r="G24" s="6" t="s">
        <v>179</v>
      </c>
      <c r="H24" s="5" t="s">
        <v>180</v>
      </c>
      <c r="I24" s="5" t="s">
        <v>181</v>
      </c>
      <c r="J24" s="5" t="s">
        <v>182</v>
      </c>
      <c r="K24" s="5" t="s">
        <v>183</v>
      </c>
      <c r="L24" s="5"/>
      <c r="M24" s="6" t="s">
        <v>18</v>
      </c>
      <c r="N24" s="6" t="s">
        <v>6</v>
      </c>
      <c r="O24" s="6" t="s">
        <v>184</v>
      </c>
      <c r="P24" s="6" t="s">
        <v>53</v>
      </c>
      <c r="Q24" s="5"/>
    </row>
    <row r="25" spans="1:17" ht="28.5">
      <c r="A25" s="6" t="s">
        <v>185</v>
      </c>
      <c r="B25" s="6" t="s">
        <v>186</v>
      </c>
      <c r="C25" s="6" t="s">
        <v>187</v>
      </c>
      <c r="D25" s="6"/>
      <c r="E25" s="5" t="s">
        <v>17</v>
      </c>
      <c r="F25" s="5" t="s">
        <v>188</v>
      </c>
      <c r="G25" s="6" t="s">
        <v>47</v>
      </c>
      <c r="H25" s="5" t="s">
        <v>147</v>
      </c>
      <c r="I25" s="5" t="s">
        <v>189</v>
      </c>
      <c r="J25" s="5" t="s">
        <v>149</v>
      </c>
      <c r="K25" s="5" t="s">
        <v>190</v>
      </c>
      <c r="L25" s="5"/>
      <c r="M25" s="6" t="s">
        <v>18</v>
      </c>
      <c r="N25" s="6" t="s">
        <v>6</v>
      </c>
      <c r="O25" s="6" t="s">
        <v>120</v>
      </c>
      <c r="P25" s="6" t="s">
        <v>53</v>
      </c>
      <c r="Q25" s="5"/>
    </row>
    <row r="26" spans="1:17" ht="28.5">
      <c r="A26" s="6" t="s">
        <v>191</v>
      </c>
      <c r="B26" s="6" t="s">
        <v>192</v>
      </c>
      <c r="C26" s="6" t="s">
        <v>187</v>
      </c>
      <c r="D26" s="6"/>
      <c r="E26" s="5" t="s">
        <v>17</v>
      </c>
      <c r="F26" s="5" t="s">
        <v>193</v>
      </c>
      <c r="G26" s="6" t="s">
        <v>47</v>
      </c>
      <c r="H26" s="5" t="s">
        <v>147</v>
      </c>
      <c r="I26" s="5" t="s">
        <v>194</v>
      </c>
      <c r="J26" s="5" t="s">
        <v>149</v>
      </c>
      <c r="K26" s="5" t="s">
        <v>195</v>
      </c>
      <c r="L26" s="5"/>
      <c r="M26" s="6" t="s">
        <v>18</v>
      </c>
      <c r="N26" s="6" t="s">
        <v>6</v>
      </c>
      <c r="O26" s="6" t="s">
        <v>52</v>
      </c>
      <c r="P26" s="6" t="s">
        <v>53</v>
      </c>
      <c r="Q26" s="5"/>
    </row>
    <row r="27" spans="1:17" ht="71.25">
      <c r="A27" s="6" t="s">
        <v>196</v>
      </c>
      <c r="B27" s="6" t="s">
        <v>197</v>
      </c>
      <c r="C27" s="6" t="s">
        <v>198</v>
      </c>
      <c r="D27" s="6" t="s">
        <v>199</v>
      </c>
      <c r="E27" s="5" t="s">
        <v>17</v>
      </c>
      <c r="F27" s="5" t="s">
        <v>200</v>
      </c>
      <c r="G27" s="6" t="s">
        <v>57</v>
      </c>
      <c r="H27" s="5" t="s">
        <v>201</v>
      </c>
      <c r="I27" s="5" t="s">
        <v>202</v>
      </c>
      <c r="J27" s="5" t="s">
        <v>203</v>
      </c>
      <c r="K27" s="5" t="s">
        <v>204</v>
      </c>
      <c r="L27" s="5"/>
      <c r="M27" s="6" t="s">
        <v>18</v>
      </c>
      <c r="N27" s="6" t="s">
        <v>6</v>
      </c>
      <c r="O27" s="6" t="s">
        <v>61</v>
      </c>
      <c r="P27" s="6" t="s">
        <v>53</v>
      </c>
      <c r="Q27" s="5"/>
    </row>
    <row r="28" spans="1:17" ht="28.5">
      <c r="A28" s="6" t="s">
        <v>205</v>
      </c>
      <c r="B28" s="6" t="s">
        <v>206</v>
      </c>
      <c r="C28" s="6" t="s">
        <v>198</v>
      </c>
      <c r="D28" s="6" t="s">
        <v>207</v>
      </c>
      <c r="E28" s="5" t="s">
        <v>17</v>
      </c>
      <c r="F28" s="5" t="s">
        <v>208</v>
      </c>
      <c r="G28" s="6" t="s">
        <v>209</v>
      </c>
      <c r="H28" s="5" t="s">
        <v>210</v>
      </c>
      <c r="I28" s="5" t="s">
        <v>211</v>
      </c>
      <c r="J28" s="5" t="s">
        <v>212</v>
      </c>
      <c r="K28" s="5" t="s">
        <v>213</v>
      </c>
      <c r="L28" s="5"/>
      <c r="M28" s="6" t="s">
        <v>18</v>
      </c>
      <c r="N28" s="6" t="s">
        <v>6</v>
      </c>
      <c r="O28" s="6" t="s">
        <v>110</v>
      </c>
      <c r="P28" s="6" t="s">
        <v>53</v>
      </c>
      <c r="Q28" s="5"/>
    </row>
    <row r="29" spans="1:17" ht="28.5">
      <c r="A29" s="6" t="s">
        <v>214</v>
      </c>
      <c r="B29" s="6" t="s">
        <v>206</v>
      </c>
      <c r="C29" s="6" t="s">
        <v>198</v>
      </c>
      <c r="D29" s="6" t="s">
        <v>207</v>
      </c>
      <c r="E29" s="5" t="s">
        <v>17</v>
      </c>
      <c r="F29" s="5" t="s">
        <v>215</v>
      </c>
      <c r="G29" s="6" t="s">
        <v>209</v>
      </c>
      <c r="H29" s="5" t="s">
        <v>210</v>
      </c>
      <c r="I29" s="5" t="s">
        <v>216</v>
      </c>
      <c r="J29" s="5" t="s">
        <v>217</v>
      </c>
      <c r="K29" s="5" t="s">
        <v>218</v>
      </c>
      <c r="L29" s="5"/>
      <c r="M29" s="6" t="s">
        <v>18</v>
      </c>
      <c r="N29" s="6" t="s">
        <v>6</v>
      </c>
      <c r="O29" s="6" t="s">
        <v>20</v>
      </c>
      <c r="P29" s="6" t="s">
        <v>53</v>
      </c>
      <c r="Q29" s="5"/>
    </row>
    <row r="30" spans="1:17" ht="71.25">
      <c r="A30" s="6" t="s">
        <v>219</v>
      </c>
      <c r="B30" s="6" t="s">
        <v>220</v>
      </c>
      <c r="C30" s="6" t="s">
        <v>198</v>
      </c>
      <c r="D30" s="6" t="s">
        <v>221</v>
      </c>
      <c r="E30" s="5" t="s">
        <v>17</v>
      </c>
      <c r="F30" s="5" t="s">
        <v>222</v>
      </c>
      <c r="G30" s="6" t="s">
        <v>83</v>
      </c>
      <c r="H30" s="5" t="s">
        <v>201</v>
      </c>
      <c r="I30" s="5" t="s">
        <v>223</v>
      </c>
      <c r="J30" s="5" t="s">
        <v>224</v>
      </c>
      <c r="K30" s="5" t="s">
        <v>225</v>
      </c>
      <c r="L30" s="5"/>
      <c r="M30" s="6" t="s">
        <v>18</v>
      </c>
      <c r="N30" s="6" t="s">
        <v>6</v>
      </c>
      <c r="O30" s="6" t="s">
        <v>87</v>
      </c>
      <c r="P30" s="6" t="s">
        <v>53</v>
      </c>
      <c r="Q30" s="5"/>
    </row>
    <row r="31" spans="1:17" ht="71.25">
      <c r="A31" s="6" t="s">
        <v>226</v>
      </c>
      <c r="B31" s="6" t="s">
        <v>227</v>
      </c>
      <c r="C31" s="6" t="s">
        <v>198</v>
      </c>
      <c r="D31" s="6" t="s">
        <v>221</v>
      </c>
      <c r="E31" s="5" t="s">
        <v>17</v>
      </c>
      <c r="F31" s="5" t="s">
        <v>228</v>
      </c>
      <c r="G31" s="6" t="s">
        <v>57</v>
      </c>
      <c r="H31" s="5" t="s">
        <v>201</v>
      </c>
      <c r="I31" s="5" t="s">
        <v>223</v>
      </c>
      <c r="J31" s="5" t="s">
        <v>229</v>
      </c>
      <c r="K31" s="5" t="s">
        <v>230</v>
      </c>
      <c r="L31" s="5"/>
      <c r="M31" s="6" t="s">
        <v>18</v>
      </c>
      <c r="N31" s="6" t="s">
        <v>6</v>
      </c>
      <c r="O31" s="6" t="s">
        <v>87</v>
      </c>
      <c r="P31" s="6" t="s">
        <v>53</v>
      </c>
      <c r="Q31" s="5"/>
    </row>
    <row r="32" spans="1:17" ht="71.25">
      <c r="A32" s="6" t="s">
        <v>231</v>
      </c>
      <c r="B32" s="6" t="s">
        <v>232</v>
      </c>
      <c r="C32" s="6" t="s">
        <v>198</v>
      </c>
      <c r="D32" s="6"/>
      <c r="E32" s="5" t="s">
        <v>17</v>
      </c>
      <c r="F32" s="5" t="s">
        <v>233</v>
      </c>
      <c r="G32" s="6" t="s">
        <v>83</v>
      </c>
      <c r="H32" s="5" t="s">
        <v>201</v>
      </c>
      <c r="I32" s="5" t="s">
        <v>223</v>
      </c>
      <c r="J32" s="5" t="s">
        <v>234</v>
      </c>
      <c r="K32" s="5" t="s">
        <v>235</v>
      </c>
      <c r="L32" s="5"/>
      <c r="M32" s="6" t="s">
        <v>18</v>
      </c>
      <c r="N32" s="6" t="s">
        <v>6</v>
      </c>
      <c r="O32" s="6" t="s">
        <v>87</v>
      </c>
      <c r="P32" s="6" t="s">
        <v>53</v>
      </c>
      <c r="Q32" s="5"/>
    </row>
    <row r="33" spans="1:17" ht="71.25">
      <c r="A33" s="6" t="s">
        <v>236</v>
      </c>
      <c r="B33" s="6" t="s">
        <v>237</v>
      </c>
      <c r="C33" s="6" t="s">
        <v>198</v>
      </c>
      <c r="D33" s="6" t="s">
        <v>238</v>
      </c>
      <c r="E33" s="5" t="s">
        <v>17</v>
      </c>
      <c r="F33" s="5" t="s">
        <v>239</v>
      </c>
      <c r="G33" s="6" t="s">
        <v>83</v>
      </c>
      <c r="H33" s="5" t="s">
        <v>201</v>
      </c>
      <c r="I33" s="5" t="s">
        <v>223</v>
      </c>
      <c r="J33" s="5" t="s">
        <v>240</v>
      </c>
      <c r="K33" s="5" t="s">
        <v>241</v>
      </c>
      <c r="L33" s="5"/>
      <c r="M33" s="6" t="s">
        <v>18</v>
      </c>
      <c r="N33" s="6" t="s">
        <v>6</v>
      </c>
      <c r="O33" s="6" t="s">
        <v>87</v>
      </c>
      <c r="P33" s="6" t="s">
        <v>53</v>
      </c>
      <c r="Q33" s="5"/>
    </row>
    <row r="34" spans="1:17" ht="71.25">
      <c r="A34" s="6" t="s">
        <v>242</v>
      </c>
      <c r="B34" s="6" t="s">
        <v>237</v>
      </c>
      <c r="C34" s="6" t="s">
        <v>198</v>
      </c>
      <c r="D34" s="6" t="s">
        <v>238</v>
      </c>
      <c r="E34" s="5" t="s">
        <v>17</v>
      </c>
      <c r="F34" s="5" t="s">
        <v>243</v>
      </c>
      <c r="G34" s="6" t="s">
        <v>179</v>
      </c>
      <c r="H34" s="5" t="s">
        <v>201</v>
      </c>
      <c r="I34" s="5" t="s">
        <v>223</v>
      </c>
      <c r="J34" s="5" t="s">
        <v>244</v>
      </c>
      <c r="K34" s="5" t="s">
        <v>245</v>
      </c>
      <c r="L34" s="5"/>
      <c r="M34" s="6" t="s">
        <v>18</v>
      </c>
      <c r="N34" s="6" t="s">
        <v>6</v>
      </c>
      <c r="O34" s="6" t="s">
        <v>87</v>
      </c>
      <c r="P34" s="6" t="s">
        <v>53</v>
      </c>
      <c r="Q34" s="5"/>
    </row>
    <row r="35" spans="1:17" ht="71.25">
      <c r="A35" s="6" t="s">
        <v>246</v>
      </c>
      <c r="B35" s="6" t="s">
        <v>237</v>
      </c>
      <c r="C35" s="6" t="s">
        <v>198</v>
      </c>
      <c r="D35" s="6" t="s">
        <v>238</v>
      </c>
      <c r="E35" s="5" t="s">
        <v>17</v>
      </c>
      <c r="F35" s="5" t="s">
        <v>247</v>
      </c>
      <c r="G35" s="6" t="s">
        <v>179</v>
      </c>
      <c r="H35" s="5" t="s">
        <v>201</v>
      </c>
      <c r="I35" s="5" t="s">
        <v>223</v>
      </c>
      <c r="J35" s="5" t="s">
        <v>248</v>
      </c>
      <c r="K35" s="5" t="s">
        <v>245</v>
      </c>
      <c r="L35" s="5"/>
      <c r="M35" s="6" t="s">
        <v>18</v>
      </c>
      <c r="N35" s="6" t="s">
        <v>6</v>
      </c>
      <c r="O35" s="6" t="s">
        <v>87</v>
      </c>
      <c r="P35" s="6" t="s">
        <v>53</v>
      </c>
      <c r="Q35" s="5"/>
    </row>
    <row r="36" spans="1:17" ht="71.25">
      <c r="A36" s="6" t="s">
        <v>249</v>
      </c>
      <c r="B36" s="6" t="s">
        <v>250</v>
      </c>
      <c r="C36" s="6" t="s">
        <v>198</v>
      </c>
      <c r="D36" s="6" t="s">
        <v>251</v>
      </c>
      <c r="E36" s="5" t="s">
        <v>17</v>
      </c>
      <c r="F36" s="5" t="s">
        <v>252</v>
      </c>
      <c r="G36" s="6" t="s">
        <v>83</v>
      </c>
      <c r="H36" s="5" t="s">
        <v>201</v>
      </c>
      <c r="I36" s="5" t="s">
        <v>223</v>
      </c>
      <c r="J36" s="5" t="s">
        <v>253</v>
      </c>
      <c r="K36" s="5" t="s">
        <v>254</v>
      </c>
      <c r="L36" s="5"/>
      <c r="M36" s="6" t="s">
        <v>18</v>
      </c>
      <c r="N36" s="6" t="s">
        <v>6</v>
      </c>
      <c r="O36" s="6" t="s">
        <v>87</v>
      </c>
      <c r="P36" s="6" t="s">
        <v>53</v>
      </c>
      <c r="Q36" s="5"/>
    </row>
    <row r="37" spans="1:17" ht="71.25">
      <c r="A37" s="6" t="s">
        <v>255</v>
      </c>
      <c r="B37" s="6" t="s">
        <v>250</v>
      </c>
      <c r="C37" s="6" t="s">
        <v>198</v>
      </c>
      <c r="D37" s="6" t="s">
        <v>251</v>
      </c>
      <c r="E37" s="5" t="s">
        <v>17</v>
      </c>
      <c r="F37" s="5" t="s">
        <v>256</v>
      </c>
      <c r="G37" s="6" t="s">
        <v>179</v>
      </c>
      <c r="H37" s="5" t="s">
        <v>201</v>
      </c>
      <c r="I37" s="5" t="s">
        <v>223</v>
      </c>
      <c r="J37" s="5" t="s">
        <v>257</v>
      </c>
      <c r="K37" s="5" t="s">
        <v>258</v>
      </c>
      <c r="L37" s="5"/>
      <c r="M37" s="6" t="s">
        <v>18</v>
      </c>
      <c r="N37" s="6" t="s">
        <v>6</v>
      </c>
      <c r="O37" s="6" t="s">
        <v>87</v>
      </c>
      <c r="P37" s="6" t="s">
        <v>53</v>
      </c>
      <c r="Q37" s="5"/>
    </row>
    <row r="38" spans="1:17" ht="71.25">
      <c r="A38" s="6" t="s">
        <v>259</v>
      </c>
      <c r="B38" s="6" t="s">
        <v>250</v>
      </c>
      <c r="C38" s="6" t="s">
        <v>198</v>
      </c>
      <c r="D38" s="6" t="s">
        <v>251</v>
      </c>
      <c r="E38" s="5" t="s">
        <v>17</v>
      </c>
      <c r="F38" s="5" t="s">
        <v>260</v>
      </c>
      <c r="G38" s="6" t="s">
        <v>179</v>
      </c>
      <c r="H38" s="5" t="s">
        <v>201</v>
      </c>
      <c r="I38" s="5" t="s">
        <v>223</v>
      </c>
      <c r="J38" s="5" t="s">
        <v>261</v>
      </c>
      <c r="K38" s="5" t="s">
        <v>262</v>
      </c>
      <c r="L38" s="5"/>
      <c r="M38" s="6" t="s">
        <v>18</v>
      </c>
      <c r="N38" s="6" t="s">
        <v>6</v>
      </c>
      <c r="O38" s="6" t="s">
        <v>87</v>
      </c>
      <c r="P38" s="6" t="s">
        <v>53</v>
      </c>
      <c r="Q38" s="5"/>
    </row>
    <row r="39" spans="1:17" ht="57">
      <c r="A39" s="6" t="s">
        <v>263</v>
      </c>
      <c r="B39" s="6" t="s">
        <v>264</v>
      </c>
      <c r="C39" s="6" t="s">
        <v>265</v>
      </c>
      <c r="D39" s="6"/>
      <c r="E39" s="5" t="s">
        <v>17</v>
      </c>
      <c r="F39" s="5" t="s">
        <v>266</v>
      </c>
      <c r="G39" s="6" t="s">
        <v>47</v>
      </c>
      <c r="H39" s="5" t="s">
        <v>201</v>
      </c>
      <c r="I39" s="5" t="s">
        <v>267</v>
      </c>
      <c r="J39" s="5" t="s">
        <v>268</v>
      </c>
      <c r="K39" s="5" t="s">
        <v>269</v>
      </c>
      <c r="L39" s="5"/>
      <c r="M39" s="6" t="s">
        <v>18</v>
      </c>
      <c r="N39" s="6" t="s">
        <v>6</v>
      </c>
      <c r="O39" s="6" t="s">
        <v>120</v>
      </c>
      <c r="P39" s="6" t="s">
        <v>53</v>
      </c>
      <c r="Q39" s="5"/>
    </row>
    <row r="40" spans="1:17" ht="28.5">
      <c r="A40" s="6" t="s">
        <v>270</v>
      </c>
      <c r="B40" s="6" t="s">
        <v>271</v>
      </c>
      <c r="C40" s="6" t="s">
        <v>265</v>
      </c>
      <c r="D40" s="6" t="s">
        <v>272</v>
      </c>
      <c r="E40" s="5" t="s">
        <v>17</v>
      </c>
      <c r="F40" s="5" t="s">
        <v>273</v>
      </c>
      <c r="G40" s="6" t="s">
        <v>274</v>
      </c>
      <c r="H40" s="5" t="s">
        <v>201</v>
      </c>
      <c r="I40" s="5" t="s">
        <v>275</v>
      </c>
      <c r="J40" s="5" t="s">
        <v>276</v>
      </c>
      <c r="K40" s="5" t="s">
        <v>277</v>
      </c>
      <c r="L40" s="5"/>
      <c r="M40" s="6" t="s">
        <v>18</v>
      </c>
      <c r="N40" s="6" t="s">
        <v>6</v>
      </c>
      <c r="O40" s="6" t="s">
        <v>184</v>
      </c>
      <c r="P40" s="6" t="s">
        <v>53</v>
      </c>
      <c r="Q40" s="5"/>
    </row>
    <row r="41" spans="1:17" ht="42.75">
      <c r="A41" s="6" t="s">
        <v>278</v>
      </c>
      <c r="B41" s="6" t="s">
        <v>264</v>
      </c>
      <c r="C41" s="6" t="s">
        <v>265</v>
      </c>
      <c r="D41" s="6" t="s">
        <v>221</v>
      </c>
      <c r="E41" s="5" t="s">
        <v>17</v>
      </c>
      <c r="F41" s="5" t="s">
        <v>279</v>
      </c>
      <c r="G41" s="6" t="s">
        <v>57</v>
      </c>
      <c r="H41" s="5" t="s">
        <v>201</v>
      </c>
      <c r="I41" s="5" t="s">
        <v>280</v>
      </c>
      <c r="J41" s="5" t="s">
        <v>281</v>
      </c>
      <c r="K41" s="5" t="s">
        <v>282</v>
      </c>
      <c r="L41" s="5"/>
      <c r="M41" s="6" t="s">
        <v>18</v>
      </c>
      <c r="N41" s="6" t="s">
        <v>6</v>
      </c>
      <c r="O41" s="6" t="s">
        <v>74</v>
      </c>
      <c r="P41" s="6" t="s">
        <v>53</v>
      </c>
      <c r="Q41" s="5"/>
    </row>
    <row r="42" spans="1:17" ht="57">
      <c r="A42" s="6" t="s">
        <v>283</v>
      </c>
      <c r="B42" s="6" t="s">
        <v>284</v>
      </c>
      <c r="C42" s="6" t="s">
        <v>285</v>
      </c>
      <c r="D42" s="6" t="s">
        <v>286</v>
      </c>
      <c r="E42" s="5" t="s">
        <v>17</v>
      </c>
      <c r="F42" s="5" t="s">
        <v>287</v>
      </c>
      <c r="G42" s="6" t="s">
        <v>115</v>
      </c>
      <c r="H42" s="5" t="s">
        <v>201</v>
      </c>
      <c r="I42" s="5" t="s">
        <v>288</v>
      </c>
      <c r="J42" s="5" t="s">
        <v>289</v>
      </c>
      <c r="K42" s="5" t="s">
        <v>290</v>
      </c>
      <c r="L42" s="5"/>
      <c r="M42" s="6" t="s">
        <v>18</v>
      </c>
      <c r="N42" s="6" t="s">
        <v>104</v>
      </c>
      <c r="O42" s="6" t="s">
        <v>120</v>
      </c>
      <c r="P42" s="6" t="s">
        <v>53</v>
      </c>
      <c r="Q42" s="5"/>
    </row>
    <row r="43" spans="1:17" ht="57">
      <c r="A43" s="6" t="s">
        <v>291</v>
      </c>
      <c r="B43" s="6" t="s">
        <v>284</v>
      </c>
      <c r="C43" s="6" t="s">
        <v>285</v>
      </c>
      <c r="D43" s="6" t="s">
        <v>286</v>
      </c>
      <c r="E43" s="5" t="s">
        <v>17</v>
      </c>
      <c r="F43" s="5" t="s">
        <v>292</v>
      </c>
      <c r="G43" s="6" t="s">
        <v>115</v>
      </c>
      <c r="H43" s="5" t="s">
        <v>201</v>
      </c>
      <c r="I43" s="5" t="s">
        <v>293</v>
      </c>
      <c r="J43" s="5" t="s">
        <v>294</v>
      </c>
      <c r="K43" s="5" t="s">
        <v>295</v>
      </c>
      <c r="L43" s="5"/>
      <c r="M43" s="6" t="s">
        <v>18</v>
      </c>
      <c r="N43" s="6" t="s">
        <v>104</v>
      </c>
      <c r="O43" s="6" t="s">
        <v>120</v>
      </c>
      <c r="P43" s="6" t="s">
        <v>53</v>
      </c>
      <c r="Q43" s="5"/>
    </row>
    <row r="44" spans="1:17" ht="57">
      <c r="A44" s="6" t="s">
        <v>296</v>
      </c>
      <c r="B44" s="6" t="s">
        <v>297</v>
      </c>
      <c r="C44" s="6" t="s">
        <v>298</v>
      </c>
      <c r="D44" s="6" t="s">
        <v>299</v>
      </c>
      <c r="E44" s="5" t="s">
        <v>17</v>
      </c>
      <c r="F44" s="5" t="s">
        <v>300</v>
      </c>
      <c r="G44" s="6" t="s">
        <v>301</v>
      </c>
      <c r="H44" s="5" t="s">
        <v>201</v>
      </c>
      <c r="I44" s="5" t="s">
        <v>302</v>
      </c>
      <c r="J44" s="5" t="s">
        <v>303</v>
      </c>
      <c r="K44" s="5" t="s">
        <v>304</v>
      </c>
      <c r="L44" s="5"/>
      <c r="M44" s="6" t="s">
        <v>18</v>
      </c>
      <c r="N44" s="6" t="s">
        <v>6</v>
      </c>
      <c r="O44" s="6" t="s">
        <v>120</v>
      </c>
      <c r="P44" s="6" t="s">
        <v>53</v>
      </c>
      <c r="Q44" s="5"/>
    </row>
    <row r="45" spans="1:17" ht="42.75">
      <c r="A45" s="6" t="s">
        <v>305</v>
      </c>
      <c r="B45" s="6" t="s">
        <v>306</v>
      </c>
      <c r="C45" s="6" t="s">
        <v>298</v>
      </c>
      <c r="D45" s="6" t="s">
        <v>307</v>
      </c>
      <c r="E45" s="5" t="s">
        <v>17</v>
      </c>
      <c r="F45" s="5" t="s">
        <v>308</v>
      </c>
      <c r="G45" s="6" t="s">
        <v>301</v>
      </c>
      <c r="H45" s="5" t="s">
        <v>201</v>
      </c>
      <c r="I45" s="5" t="s">
        <v>309</v>
      </c>
      <c r="J45" s="5" t="s">
        <v>310</v>
      </c>
      <c r="K45" s="5" t="s">
        <v>311</v>
      </c>
      <c r="L45" s="5"/>
      <c r="M45" s="6" t="s">
        <v>18</v>
      </c>
      <c r="N45" s="6" t="s">
        <v>6</v>
      </c>
      <c r="O45" s="6" t="s">
        <v>184</v>
      </c>
      <c r="P45" s="6" t="s">
        <v>53</v>
      </c>
      <c r="Q45" s="5"/>
    </row>
    <row r="46" spans="1:17" ht="57">
      <c r="A46" s="6" t="s">
        <v>312</v>
      </c>
      <c r="B46" s="6" t="s">
        <v>313</v>
      </c>
      <c r="C46" s="6" t="s">
        <v>298</v>
      </c>
      <c r="D46" s="6" t="s">
        <v>314</v>
      </c>
      <c r="E46" s="5" t="s">
        <v>17</v>
      </c>
      <c r="F46" s="5" t="s">
        <v>315</v>
      </c>
      <c r="G46" s="6" t="s">
        <v>301</v>
      </c>
      <c r="H46" s="5" t="s">
        <v>201</v>
      </c>
      <c r="I46" s="5" t="s">
        <v>316</v>
      </c>
      <c r="J46" s="5" t="s">
        <v>317</v>
      </c>
      <c r="K46" s="5" t="s">
        <v>318</v>
      </c>
      <c r="L46" s="5"/>
      <c r="M46" s="6" t="s">
        <v>18</v>
      </c>
      <c r="N46" s="6" t="s">
        <v>6</v>
      </c>
      <c r="O46" s="6" t="s">
        <v>184</v>
      </c>
      <c r="P46" s="6" t="s">
        <v>53</v>
      </c>
      <c r="Q46" s="5"/>
    </row>
    <row r="47" spans="1:17" ht="57">
      <c r="A47" s="6" t="s">
        <v>319</v>
      </c>
      <c r="B47" s="6" t="s">
        <v>313</v>
      </c>
      <c r="C47" s="6" t="s">
        <v>298</v>
      </c>
      <c r="D47" s="6" t="s">
        <v>314</v>
      </c>
      <c r="E47" s="5" t="s">
        <v>17</v>
      </c>
      <c r="F47" s="5" t="s">
        <v>320</v>
      </c>
      <c r="G47" s="6" t="s">
        <v>301</v>
      </c>
      <c r="H47" s="5" t="s">
        <v>201</v>
      </c>
      <c r="I47" s="5" t="s">
        <v>321</v>
      </c>
      <c r="J47" s="5" t="s">
        <v>322</v>
      </c>
      <c r="K47" s="5" t="s">
        <v>318</v>
      </c>
      <c r="L47" s="5"/>
      <c r="M47" s="6" t="s">
        <v>18</v>
      </c>
      <c r="N47" s="6" t="s">
        <v>6</v>
      </c>
      <c r="O47" s="6" t="s">
        <v>184</v>
      </c>
      <c r="P47" s="6" t="s">
        <v>53</v>
      </c>
      <c r="Q47" s="5"/>
    </row>
    <row r="48" spans="1:17" ht="42.75">
      <c r="A48" s="6" t="s">
        <v>323</v>
      </c>
      <c r="B48" s="6" t="s">
        <v>324</v>
      </c>
      <c r="C48" s="6" t="s">
        <v>187</v>
      </c>
      <c r="D48" s="6"/>
      <c r="E48" s="5" t="s">
        <v>17</v>
      </c>
      <c r="F48" s="5" t="s">
        <v>325</v>
      </c>
      <c r="G48" s="6" t="s">
        <v>57</v>
      </c>
      <c r="H48" s="5" t="s">
        <v>147</v>
      </c>
      <c r="I48" s="5" t="s">
        <v>326</v>
      </c>
      <c r="J48" s="5" t="s">
        <v>327</v>
      </c>
      <c r="K48" s="5" t="s">
        <v>328</v>
      </c>
      <c r="L48" s="5"/>
      <c r="M48" s="6" t="s">
        <v>18</v>
      </c>
      <c r="N48" s="6" t="s">
        <v>104</v>
      </c>
      <c r="O48" s="6" t="s">
        <v>120</v>
      </c>
      <c r="P48" s="6" t="s">
        <v>53</v>
      </c>
      <c r="Q48" s="5"/>
    </row>
    <row r="49" spans="1:17" ht="42.75">
      <c r="A49" s="6" t="s">
        <v>329</v>
      </c>
      <c r="B49" s="6" t="s">
        <v>324</v>
      </c>
      <c r="C49" s="6" t="s">
        <v>187</v>
      </c>
      <c r="D49" s="6"/>
      <c r="E49" s="5" t="s">
        <v>17</v>
      </c>
      <c r="F49" s="5" t="s">
        <v>330</v>
      </c>
      <c r="G49" s="6" t="s">
        <v>57</v>
      </c>
      <c r="H49" s="5" t="s">
        <v>147</v>
      </c>
      <c r="I49" s="5" t="s">
        <v>331</v>
      </c>
      <c r="J49" s="5" t="s">
        <v>332</v>
      </c>
      <c r="K49" s="5" t="s">
        <v>333</v>
      </c>
      <c r="L49" s="5"/>
      <c r="M49" s="6" t="s">
        <v>18</v>
      </c>
      <c r="N49" s="6" t="s">
        <v>104</v>
      </c>
      <c r="O49" s="6" t="s">
        <v>120</v>
      </c>
      <c r="P49" s="6" t="s">
        <v>53</v>
      </c>
      <c r="Q49" s="5"/>
    </row>
    <row r="50" spans="1:17" ht="42.75">
      <c r="A50" s="6" t="s">
        <v>334</v>
      </c>
      <c r="B50" s="6" t="s">
        <v>324</v>
      </c>
      <c r="C50" s="6" t="s">
        <v>187</v>
      </c>
      <c r="D50" s="6"/>
      <c r="E50" s="5" t="s">
        <v>17</v>
      </c>
      <c r="F50" s="5" t="s">
        <v>335</v>
      </c>
      <c r="G50" s="6" t="s">
        <v>336</v>
      </c>
      <c r="H50" s="5" t="s">
        <v>147</v>
      </c>
      <c r="I50" s="5" t="s">
        <v>337</v>
      </c>
      <c r="J50" s="5" t="s">
        <v>338</v>
      </c>
      <c r="K50" s="5" t="s">
        <v>339</v>
      </c>
      <c r="L50" s="5"/>
      <c r="M50" s="6" t="s">
        <v>18</v>
      </c>
      <c r="N50" s="6" t="s">
        <v>104</v>
      </c>
      <c r="O50" s="6" t="s">
        <v>120</v>
      </c>
      <c r="P50" s="6" t="s">
        <v>53</v>
      </c>
      <c r="Q50" s="5"/>
    </row>
    <row r="51" spans="1:17" ht="28.5">
      <c r="A51" s="6" t="s">
        <v>340</v>
      </c>
      <c r="B51" s="6" t="s">
        <v>341</v>
      </c>
      <c r="C51" s="6" t="s">
        <v>187</v>
      </c>
      <c r="D51" s="6"/>
      <c r="E51" s="5" t="s">
        <v>17</v>
      </c>
      <c r="F51" s="5" t="s">
        <v>342</v>
      </c>
      <c r="G51" s="6" t="s">
        <v>57</v>
      </c>
      <c r="H51" s="5" t="s">
        <v>147</v>
      </c>
      <c r="I51" s="5" t="s">
        <v>343</v>
      </c>
      <c r="J51" s="5" t="s">
        <v>344</v>
      </c>
      <c r="K51" s="5" t="s">
        <v>345</v>
      </c>
      <c r="L51" s="5"/>
      <c r="M51" s="6" t="s">
        <v>18</v>
      </c>
      <c r="N51" s="6" t="s">
        <v>104</v>
      </c>
      <c r="O51" s="6" t="s">
        <v>120</v>
      </c>
      <c r="P51" s="6" t="s">
        <v>53</v>
      </c>
      <c r="Q51" s="5"/>
    </row>
    <row r="52" spans="1:17" ht="28.5">
      <c r="A52" s="6" t="s">
        <v>346</v>
      </c>
      <c r="B52" s="6" t="s">
        <v>341</v>
      </c>
      <c r="C52" s="6" t="s">
        <v>187</v>
      </c>
      <c r="D52" s="6"/>
      <c r="E52" s="5" t="s">
        <v>17</v>
      </c>
      <c r="F52" s="5" t="s">
        <v>347</v>
      </c>
      <c r="G52" s="6" t="s">
        <v>57</v>
      </c>
      <c r="H52" s="5" t="s">
        <v>147</v>
      </c>
      <c r="I52" s="5" t="s">
        <v>348</v>
      </c>
      <c r="J52" s="5" t="s">
        <v>349</v>
      </c>
      <c r="K52" s="5" t="s">
        <v>350</v>
      </c>
      <c r="L52" s="5"/>
      <c r="M52" s="6" t="s">
        <v>18</v>
      </c>
      <c r="N52" s="6" t="s">
        <v>104</v>
      </c>
      <c r="O52" s="6" t="s">
        <v>120</v>
      </c>
      <c r="P52" s="6" t="s">
        <v>53</v>
      </c>
      <c r="Q52" s="5"/>
    </row>
    <row r="53" spans="1:17" ht="28.5">
      <c r="A53" s="6" t="s">
        <v>351</v>
      </c>
      <c r="B53" s="6" t="s">
        <v>341</v>
      </c>
      <c r="C53" s="6" t="s">
        <v>187</v>
      </c>
      <c r="D53" s="6"/>
      <c r="E53" s="5" t="s">
        <v>17</v>
      </c>
      <c r="F53" s="5" t="s">
        <v>352</v>
      </c>
      <c r="G53" s="6" t="s">
        <v>57</v>
      </c>
      <c r="H53" s="5" t="s">
        <v>147</v>
      </c>
      <c r="I53" s="5" t="s">
        <v>353</v>
      </c>
      <c r="J53" s="5" t="s">
        <v>354</v>
      </c>
      <c r="K53" s="5" t="s">
        <v>355</v>
      </c>
      <c r="L53" s="5"/>
      <c r="M53" s="6" t="s">
        <v>18</v>
      </c>
      <c r="N53" s="6" t="s">
        <v>104</v>
      </c>
      <c r="O53" s="6" t="s">
        <v>120</v>
      </c>
      <c r="P53" s="6" t="s">
        <v>53</v>
      </c>
      <c r="Q53" s="5"/>
    </row>
    <row r="54" spans="1:17" ht="42.75">
      <c r="A54" s="6" t="s">
        <v>356</v>
      </c>
      <c r="B54" s="6" t="s">
        <v>341</v>
      </c>
      <c r="C54" s="6" t="s">
        <v>187</v>
      </c>
      <c r="D54" s="6"/>
      <c r="E54" s="5" t="s">
        <v>17</v>
      </c>
      <c r="F54" s="5" t="s">
        <v>357</v>
      </c>
      <c r="G54" s="6" t="s">
        <v>47</v>
      </c>
      <c r="H54" s="5" t="s">
        <v>147</v>
      </c>
      <c r="I54" s="5" t="s">
        <v>358</v>
      </c>
      <c r="J54" s="5" t="s">
        <v>359</v>
      </c>
      <c r="K54" s="5" t="s">
        <v>360</v>
      </c>
      <c r="L54" s="5"/>
      <c r="M54" s="6" t="s">
        <v>18</v>
      </c>
      <c r="N54" s="6" t="s">
        <v>174</v>
      </c>
      <c r="O54" s="6" t="s">
        <v>52</v>
      </c>
      <c r="P54" s="6" t="s">
        <v>53</v>
      </c>
      <c r="Q54" s="5"/>
    </row>
    <row r="55" spans="1:17" ht="28.5">
      <c r="A55" s="6" t="s">
        <v>361</v>
      </c>
      <c r="B55" s="6" t="s">
        <v>362</v>
      </c>
      <c r="C55" s="6" t="s">
        <v>363</v>
      </c>
      <c r="D55" s="6"/>
      <c r="E55" s="5" t="s">
        <v>22</v>
      </c>
      <c r="F55" s="5" t="s">
        <v>364</v>
      </c>
      <c r="G55" s="6" t="s">
        <v>47</v>
      </c>
      <c r="H55" s="5" t="s">
        <v>147</v>
      </c>
      <c r="I55" s="5" t="s">
        <v>365</v>
      </c>
      <c r="J55" s="5" t="s">
        <v>366</v>
      </c>
      <c r="K55" s="5" t="s">
        <v>367</v>
      </c>
      <c r="L55" s="5"/>
      <c r="M55" s="6" t="s">
        <v>18</v>
      </c>
      <c r="N55" s="6" t="s">
        <v>6</v>
      </c>
      <c r="O55" s="6" t="s">
        <v>52</v>
      </c>
      <c r="P55" s="6" t="s">
        <v>53</v>
      </c>
      <c r="Q55" s="5"/>
    </row>
    <row r="56" spans="1:17" ht="71.25">
      <c r="A56" s="6" t="s">
        <v>368</v>
      </c>
      <c r="B56" s="6" t="s">
        <v>369</v>
      </c>
      <c r="C56" s="6" t="s">
        <v>363</v>
      </c>
      <c r="D56" s="6" t="s">
        <v>370</v>
      </c>
      <c r="E56" s="5" t="s">
        <v>22</v>
      </c>
      <c r="F56" s="5" t="s">
        <v>371</v>
      </c>
      <c r="G56" s="6" t="s">
        <v>47</v>
      </c>
      <c r="H56" s="5" t="s">
        <v>372</v>
      </c>
      <c r="I56" s="5" t="s">
        <v>373</v>
      </c>
      <c r="J56" s="5" t="s">
        <v>374</v>
      </c>
      <c r="K56" s="5" t="s">
        <v>375</v>
      </c>
      <c r="L56" s="5"/>
      <c r="M56" s="6" t="s">
        <v>18</v>
      </c>
      <c r="N56" s="6" t="s">
        <v>6</v>
      </c>
      <c r="O56" s="6" t="s">
        <v>61</v>
      </c>
      <c r="P56" s="6" t="s">
        <v>53</v>
      </c>
      <c r="Q56" s="5"/>
    </row>
    <row r="57" spans="1:17" ht="57">
      <c r="A57" s="6" t="s">
        <v>376</v>
      </c>
      <c r="B57" s="6" t="s">
        <v>377</v>
      </c>
      <c r="C57" s="6" t="s">
        <v>363</v>
      </c>
      <c r="D57" s="6" t="s">
        <v>370</v>
      </c>
      <c r="E57" s="5" t="s">
        <v>22</v>
      </c>
      <c r="F57" s="5" t="s">
        <v>378</v>
      </c>
      <c r="G57" s="6" t="s">
        <v>209</v>
      </c>
      <c r="H57" s="5" t="s">
        <v>379</v>
      </c>
      <c r="I57" s="5" t="s">
        <v>380</v>
      </c>
      <c r="J57" s="5" t="s">
        <v>381</v>
      </c>
      <c r="K57" s="5" t="s">
        <v>382</v>
      </c>
      <c r="L57" s="5"/>
      <c r="M57" s="6" t="s">
        <v>18</v>
      </c>
      <c r="N57" s="6" t="s">
        <v>6</v>
      </c>
      <c r="O57" s="6" t="s">
        <v>61</v>
      </c>
      <c r="P57" s="6" t="s">
        <v>53</v>
      </c>
      <c r="Q57" s="5"/>
    </row>
    <row r="58" spans="1:17" ht="57">
      <c r="A58" s="6" t="s">
        <v>383</v>
      </c>
      <c r="B58" s="6" t="s">
        <v>384</v>
      </c>
      <c r="C58" s="6" t="s">
        <v>363</v>
      </c>
      <c r="D58" s="6"/>
      <c r="E58" s="5" t="s">
        <v>22</v>
      </c>
      <c r="F58" s="5" t="s">
        <v>385</v>
      </c>
      <c r="G58" s="6" t="s">
        <v>83</v>
      </c>
      <c r="H58" s="5" t="s">
        <v>386</v>
      </c>
      <c r="I58" s="5" t="s">
        <v>387</v>
      </c>
      <c r="J58" s="5" t="s">
        <v>388</v>
      </c>
      <c r="K58" s="5" t="s">
        <v>389</v>
      </c>
      <c r="L58" s="5"/>
      <c r="M58" s="6" t="s">
        <v>18</v>
      </c>
      <c r="N58" s="6" t="s">
        <v>6</v>
      </c>
      <c r="O58" s="6" t="s">
        <v>87</v>
      </c>
      <c r="P58" s="6" t="s">
        <v>53</v>
      </c>
      <c r="Q58" s="5"/>
    </row>
    <row r="59" spans="1:17" ht="42.75">
      <c r="A59" s="6" t="s">
        <v>390</v>
      </c>
      <c r="B59" s="6" t="s">
        <v>391</v>
      </c>
      <c r="C59" s="6" t="s">
        <v>363</v>
      </c>
      <c r="D59" s="6" t="s">
        <v>370</v>
      </c>
      <c r="E59" s="5" t="s">
        <v>22</v>
      </c>
      <c r="F59" s="5" t="s">
        <v>392</v>
      </c>
      <c r="G59" s="6" t="s">
        <v>83</v>
      </c>
      <c r="H59" s="5" t="s">
        <v>386</v>
      </c>
      <c r="I59" s="5" t="s">
        <v>393</v>
      </c>
      <c r="J59" s="5" t="s">
        <v>394</v>
      </c>
      <c r="K59" s="5" t="s">
        <v>395</v>
      </c>
      <c r="L59" s="5"/>
      <c r="M59" s="6" t="s">
        <v>18</v>
      </c>
      <c r="N59" s="6" t="s">
        <v>6</v>
      </c>
      <c r="O59" s="6" t="s">
        <v>87</v>
      </c>
      <c r="P59" s="6" t="s">
        <v>53</v>
      </c>
      <c r="Q59" s="5"/>
    </row>
    <row r="60" spans="1:17" ht="42.75">
      <c r="A60" s="6" t="s">
        <v>396</v>
      </c>
      <c r="B60" s="6" t="s">
        <v>397</v>
      </c>
      <c r="C60" s="6" t="s">
        <v>363</v>
      </c>
      <c r="D60" s="6" t="s">
        <v>370</v>
      </c>
      <c r="E60" s="5" t="s">
        <v>22</v>
      </c>
      <c r="F60" s="5" t="s">
        <v>398</v>
      </c>
      <c r="G60" s="6" t="s">
        <v>179</v>
      </c>
      <c r="H60" s="5" t="s">
        <v>386</v>
      </c>
      <c r="I60" s="5" t="s">
        <v>399</v>
      </c>
      <c r="J60" s="5" t="s">
        <v>400</v>
      </c>
      <c r="K60" s="5" t="s">
        <v>401</v>
      </c>
      <c r="L60" s="5"/>
      <c r="M60" s="6" t="s">
        <v>18</v>
      </c>
      <c r="N60" s="6" t="s">
        <v>6</v>
      </c>
      <c r="O60" s="6" t="s">
        <v>402</v>
      </c>
      <c r="P60" s="6" t="s">
        <v>53</v>
      </c>
      <c r="Q60" s="5"/>
    </row>
    <row r="61" spans="1:17" ht="42.75">
      <c r="A61" s="6" t="s">
        <v>403</v>
      </c>
      <c r="B61" s="6" t="s">
        <v>397</v>
      </c>
      <c r="C61" s="6" t="s">
        <v>363</v>
      </c>
      <c r="D61" s="6" t="s">
        <v>370</v>
      </c>
      <c r="E61" s="5" t="s">
        <v>22</v>
      </c>
      <c r="F61" s="5" t="s">
        <v>404</v>
      </c>
      <c r="G61" s="6" t="s">
        <v>179</v>
      </c>
      <c r="H61" s="5" t="s">
        <v>386</v>
      </c>
      <c r="I61" s="5" t="s">
        <v>399</v>
      </c>
      <c r="J61" s="5" t="s">
        <v>405</v>
      </c>
      <c r="K61" s="5" t="s">
        <v>401</v>
      </c>
      <c r="L61" s="5"/>
      <c r="M61" s="6" t="s">
        <v>18</v>
      </c>
      <c r="N61" s="6" t="s">
        <v>6</v>
      </c>
      <c r="O61" s="6" t="s">
        <v>402</v>
      </c>
      <c r="P61" s="6" t="s">
        <v>53</v>
      </c>
      <c r="Q61" s="5"/>
    </row>
    <row r="62" spans="1:17" ht="42.75">
      <c r="A62" s="6" t="s">
        <v>406</v>
      </c>
      <c r="B62" s="6" t="s">
        <v>397</v>
      </c>
      <c r="C62" s="6" t="s">
        <v>363</v>
      </c>
      <c r="D62" s="6" t="s">
        <v>370</v>
      </c>
      <c r="E62" s="5" t="s">
        <v>22</v>
      </c>
      <c r="F62" s="5" t="s">
        <v>407</v>
      </c>
      <c r="G62" s="6" t="s">
        <v>179</v>
      </c>
      <c r="H62" s="5" t="s">
        <v>386</v>
      </c>
      <c r="I62" s="5" t="s">
        <v>399</v>
      </c>
      <c r="J62" s="5" t="s">
        <v>408</v>
      </c>
      <c r="K62" s="5" t="s">
        <v>409</v>
      </c>
      <c r="L62" s="5"/>
      <c r="M62" s="6" t="s">
        <v>18</v>
      </c>
      <c r="N62" s="6" t="s">
        <v>6</v>
      </c>
      <c r="O62" s="6" t="s">
        <v>402</v>
      </c>
      <c r="P62" s="6" t="s">
        <v>53</v>
      </c>
      <c r="Q62" s="5"/>
    </row>
    <row r="63" spans="1:17" ht="28.5">
      <c r="A63" s="6" t="s">
        <v>410</v>
      </c>
      <c r="B63" s="6" t="s">
        <v>411</v>
      </c>
      <c r="C63" s="6" t="s">
        <v>363</v>
      </c>
      <c r="D63" s="6" t="s">
        <v>286</v>
      </c>
      <c r="E63" s="5" t="s">
        <v>22</v>
      </c>
      <c r="F63" s="5" t="s">
        <v>412</v>
      </c>
      <c r="G63" s="6" t="s">
        <v>57</v>
      </c>
      <c r="H63" s="5" t="s">
        <v>413</v>
      </c>
      <c r="I63" s="5" t="s">
        <v>414</v>
      </c>
      <c r="J63" s="5" t="s">
        <v>415</v>
      </c>
      <c r="K63" s="5" t="s">
        <v>416</v>
      </c>
      <c r="L63" s="5"/>
      <c r="M63" s="6" t="s">
        <v>18</v>
      </c>
      <c r="N63" s="6" t="s">
        <v>6</v>
      </c>
      <c r="O63" s="6" t="s">
        <v>184</v>
      </c>
      <c r="P63" s="6" t="s">
        <v>53</v>
      </c>
      <c r="Q63" s="5"/>
    </row>
    <row r="64" spans="1:17" ht="28.5">
      <c r="A64" s="6" t="s">
        <v>417</v>
      </c>
      <c r="B64" s="6" t="s">
        <v>411</v>
      </c>
      <c r="C64" s="6" t="s">
        <v>363</v>
      </c>
      <c r="D64" s="6" t="s">
        <v>286</v>
      </c>
      <c r="E64" s="5" t="s">
        <v>22</v>
      </c>
      <c r="F64" s="5" t="s">
        <v>418</v>
      </c>
      <c r="G64" s="6" t="s">
        <v>419</v>
      </c>
      <c r="H64" s="5" t="s">
        <v>420</v>
      </c>
      <c r="I64" s="5" t="s">
        <v>421</v>
      </c>
      <c r="J64" s="5" t="s">
        <v>422</v>
      </c>
      <c r="K64" s="5" t="s">
        <v>423</v>
      </c>
      <c r="L64" s="5"/>
      <c r="M64" s="6" t="s">
        <v>18</v>
      </c>
      <c r="N64" s="6" t="s">
        <v>6</v>
      </c>
      <c r="O64" s="6" t="s">
        <v>184</v>
      </c>
      <c r="P64" s="6" t="s">
        <v>53</v>
      </c>
      <c r="Q64" s="5"/>
    </row>
    <row r="65" spans="1:17" ht="57">
      <c r="A65" s="6" t="s">
        <v>424</v>
      </c>
      <c r="B65" s="6" t="s">
        <v>425</v>
      </c>
      <c r="C65" s="6" t="s">
        <v>363</v>
      </c>
      <c r="D65" s="6" t="s">
        <v>426</v>
      </c>
      <c r="E65" s="5" t="s">
        <v>22</v>
      </c>
      <c r="F65" s="5" t="s">
        <v>427</v>
      </c>
      <c r="G65" s="6" t="s">
        <v>428</v>
      </c>
      <c r="H65" s="5" t="s">
        <v>386</v>
      </c>
      <c r="I65" s="5" t="s">
        <v>429</v>
      </c>
      <c r="J65" s="5" t="s">
        <v>430</v>
      </c>
      <c r="K65" s="5" t="s">
        <v>431</v>
      </c>
      <c r="L65" s="5"/>
      <c r="M65" s="6" t="s">
        <v>18</v>
      </c>
      <c r="N65" s="6" t="s">
        <v>6</v>
      </c>
      <c r="O65" s="6" t="s">
        <v>432</v>
      </c>
      <c r="P65" s="6" t="s">
        <v>53</v>
      </c>
      <c r="Q65" s="5"/>
    </row>
    <row r="66" spans="1:17" ht="42.75">
      <c r="A66" s="6" t="s">
        <v>433</v>
      </c>
      <c r="B66" s="6" t="s">
        <v>434</v>
      </c>
      <c r="C66" s="6" t="s">
        <v>435</v>
      </c>
      <c r="D66" s="6"/>
      <c r="E66" s="5" t="s">
        <v>22</v>
      </c>
      <c r="F66" s="5" t="s">
        <v>436</v>
      </c>
      <c r="G66" s="6" t="s">
        <v>47</v>
      </c>
      <c r="H66" s="5" t="s">
        <v>386</v>
      </c>
      <c r="I66" s="5" t="s">
        <v>437</v>
      </c>
      <c r="J66" s="5" t="s">
        <v>438</v>
      </c>
      <c r="K66" s="5" t="s">
        <v>439</v>
      </c>
      <c r="L66" s="5"/>
      <c r="M66" s="6" t="s">
        <v>18</v>
      </c>
      <c r="N66" s="6" t="s">
        <v>6</v>
      </c>
      <c r="O66" s="6" t="s">
        <v>120</v>
      </c>
      <c r="P66" s="6" t="s">
        <v>53</v>
      </c>
      <c r="Q66" s="5"/>
    </row>
    <row r="67" spans="1:17" ht="42.75">
      <c r="A67" s="6" t="s">
        <v>440</v>
      </c>
      <c r="B67" s="6" t="s">
        <v>434</v>
      </c>
      <c r="C67" s="6" t="s">
        <v>435</v>
      </c>
      <c r="D67" s="6"/>
      <c r="E67" s="5" t="s">
        <v>22</v>
      </c>
      <c r="F67" s="5" t="s">
        <v>441</v>
      </c>
      <c r="G67" s="6" t="s">
        <v>47</v>
      </c>
      <c r="H67" s="5" t="s">
        <v>386</v>
      </c>
      <c r="I67" s="5" t="s">
        <v>442</v>
      </c>
      <c r="J67" s="5" t="s">
        <v>443</v>
      </c>
      <c r="K67" s="5" t="s">
        <v>444</v>
      </c>
      <c r="L67" s="5"/>
      <c r="M67" s="6" t="s">
        <v>18</v>
      </c>
      <c r="N67" s="6" t="s">
        <v>104</v>
      </c>
      <c r="O67" s="6" t="s">
        <v>120</v>
      </c>
      <c r="P67" s="6" t="s">
        <v>53</v>
      </c>
      <c r="Q67" s="5"/>
    </row>
    <row r="68" spans="1:17" ht="57">
      <c r="A68" s="6" t="s">
        <v>445</v>
      </c>
      <c r="B68" s="6" t="s">
        <v>397</v>
      </c>
      <c r="C68" s="6" t="s">
        <v>363</v>
      </c>
      <c r="D68" s="6" t="s">
        <v>370</v>
      </c>
      <c r="E68" s="5" t="s">
        <v>22</v>
      </c>
      <c r="F68" s="5" t="s">
        <v>446</v>
      </c>
      <c r="G68" s="6" t="s">
        <v>179</v>
      </c>
      <c r="H68" s="5" t="s">
        <v>386</v>
      </c>
      <c r="I68" s="5" t="s">
        <v>447</v>
      </c>
      <c r="J68" s="5" t="s">
        <v>448</v>
      </c>
      <c r="K68" s="5" t="s">
        <v>449</v>
      </c>
      <c r="L68" s="5"/>
      <c r="M68" s="6" t="s">
        <v>18</v>
      </c>
      <c r="N68" s="6" t="s">
        <v>104</v>
      </c>
      <c r="O68" s="6" t="s">
        <v>402</v>
      </c>
      <c r="P68" s="6" t="s">
        <v>53</v>
      </c>
      <c r="Q68" s="5"/>
    </row>
    <row r="69" spans="1:17" ht="28.5">
      <c r="A69" s="6" t="s">
        <v>450</v>
      </c>
      <c r="B69" s="6" t="s">
        <v>362</v>
      </c>
      <c r="C69" s="6" t="s">
        <v>451</v>
      </c>
      <c r="D69" s="6"/>
      <c r="E69" s="5" t="s">
        <v>22</v>
      </c>
      <c r="F69" s="5" t="s">
        <v>452</v>
      </c>
      <c r="G69" s="6" t="s">
        <v>453</v>
      </c>
      <c r="H69" s="5" t="s">
        <v>386</v>
      </c>
      <c r="I69" s="5" t="s">
        <v>454</v>
      </c>
      <c r="J69" s="5" t="s">
        <v>455</v>
      </c>
      <c r="K69" s="5" t="s">
        <v>456</v>
      </c>
      <c r="L69" s="5"/>
      <c r="M69" s="6" t="s">
        <v>18</v>
      </c>
      <c r="N69" s="6" t="s">
        <v>174</v>
      </c>
      <c r="O69" s="6" t="s">
        <v>52</v>
      </c>
      <c r="P69" s="6" t="s">
        <v>53</v>
      </c>
      <c r="Q69" s="5"/>
    </row>
    <row r="70" spans="1:17" ht="42.75">
      <c r="A70" s="6" t="s">
        <v>457</v>
      </c>
      <c r="B70" s="6" t="s">
        <v>458</v>
      </c>
      <c r="C70" s="6" t="s">
        <v>459</v>
      </c>
      <c r="D70" s="6"/>
      <c r="E70" s="5" t="s">
        <v>24</v>
      </c>
      <c r="F70" s="5" t="s">
        <v>460</v>
      </c>
      <c r="G70" s="6" t="s">
        <v>47</v>
      </c>
      <c r="H70" s="5" t="s">
        <v>147</v>
      </c>
      <c r="I70" s="5" t="s">
        <v>461</v>
      </c>
      <c r="J70" s="5" t="s">
        <v>366</v>
      </c>
      <c r="K70" s="5" t="s">
        <v>462</v>
      </c>
      <c r="L70" s="5"/>
      <c r="M70" s="6" t="s">
        <v>18</v>
      </c>
      <c r="N70" s="6" t="s">
        <v>6</v>
      </c>
      <c r="O70" s="6" t="s">
        <v>52</v>
      </c>
      <c r="P70" s="6" t="s">
        <v>53</v>
      </c>
      <c r="Q70" s="5"/>
    </row>
    <row r="71" spans="1:17" ht="71.25">
      <c r="A71" s="6" t="s">
        <v>463</v>
      </c>
      <c r="B71" s="6" t="s">
        <v>464</v>
      </c>
      <c r="C71" s="6" t="s">
        <v>459</v>
      </c>
      <c r="D71" s="6" t="s">
        <v>465</v>
      </c>
      <c r="E71" s="5" t="s">
        <v>24</v>
      </c>
      <c r="F71" s="5" t="s">
        <v>466</v>
      </c>
      <c r="G71" s="6" t="s">
        <v>47</v>
      </c>
      <c r="H71" s="5" t="s">
        <v>467</v>
      </c>
      <c r="I71" s="5" t="s">
        <v>468</v>
      </c>
      <c r="J71" s="5" t="s">
        <v>469</v>
      </c>
      <c r="K71" s="5" t="s">
        <v>470</v>
      </c>
      <c r="L71" s="5"/>
      <c r="M71" s="6" t="s">
        <v>18</v>
      </c>
      <c r="N71" s="6" t="s">
        <v>6</v>
      </c>
      <c r="O71" s="6" t="s">
        <v>61</v>
      </c>
      <c r="P71" s="6" t="s">
        <v>53</v>
      </c>
      <c r="Q71" s="5"/>
    </row>
    <row r="72" spans="1:17" ht="57">
      <c r="A72" s="6" t="s">
        <v>471</v>
      </c>
      <c r="B72" s="6" t="s">
        <v>472</v>
      </c>
      <c r="C72" s="6" t="s">
        <v>459</v>
      </c>
      <c r="D72" s="6" t="s">
        <v>465</v>
      </c>
      <c r="E72" s="5" t="s">
        <v>24</v>
      </c>
      <c r="F72" s="5" t="s">
        <v>473</v>
      </c>
      <c r="G72" s="6" t="s">
        <v>209</v>
      </c>
      <c r="H72" s="5" t="s">
        <v>474</v>
      </c>
      <c r="I72" s="5" t="s">
        <v>475</v>
      </c>
      <c r="J72" s="5" t="s">
        <v>469</v>
      </c>
      <c r="K72" s="5" t="s">
        <v>476</v>
      </c>
      <c r="L72" s="5"/>
      <c r="M72" s="6" t="s">
        <v>18</v>
      </c>
      <c r="N72" s="6" t="s">
        <v>6</v>
      </c>
      <c r="O72" s="6" t="s">
        <v>61</v>
      </c>
      <c r="P72" s="6" t="s">
        <v>53</v>
      </c>
      <c r="Q72" s="5"/>
    </row>
    <row r="73" spans="1:17" ht="57">
      <c r="A73" s="6" t="s">
        <v>477</v>
      </c>
      <c r="B73" s="6" t="s">
        <v>478</v>
      </c>
      <c r="C73" s="6" t="s">
        <v>459</v>
      </c>
      <c r="D73" s="6"/>
      <c r="E73" s="5" t="s">
        <v>24</v>
      </c>
      <c r="F73" s="5" t="s">
        <v>479</v>
      </c>
      <c r="G73" s="6" t="s">
        <v>83</v>
      </c>
      <c r="H73" s="5" t="s">
        <v>147</v>
      </c>
      <c r="I73" s="5" t="s">
        <v>480</v>
      </c>
      <c r="J73" s="5" t="s">
        <v>481</v>
      </c>
      <c r="K73" s="5" t="s">
        <v>482</v>
      </c>
      <c r="L73" s="5"/>
      <c r="M73" s="6" t="s">
        <v>18</v>
      </c>
      <c r="N73" s="6" t="s">
        <v>6</v>
      </c>
      <c r="O73" s="6" t="s">
        <v>87</v>
      </c>
      <c r="P73" s="6" t="s">
        <v>53</v>
      </c>
      <c r="Q73" s="5"/>
    </row>
    <row r="74" spans="1:17" ht="42.75">
      <c r="A74" s="6" t="s">
        <v>483</v>
      </c>
      <c r="B74" s="6" t="s">
        <v>484</v>
      </c>
      <c r="C74" s="6" t="s">
        <v>459</v>
      </c>
      <c r="D74" s="6" t="s">
        <v>485</v>
      </c>
      <c r="E74" s="5" t="s">
        <v>24</v>
      </c>
      <c r="F74" s="5" t="s">
        <v>486</v>
      </c>
      <c r="G74" s="6" t="s">
        <v>83</v>
      </c>
      <c r="H74" s="5" t="s">
        <v>147</v>
      </c>
      <c r="I74" s="5" t="s">
        <v>393</v>
      </c>
      <c r="J74" s="5" t="s">
        <v>394</v>
      </c>
      <c r="K74" s="5" t="s">
        <v>487</v>
      </c>
      <c r="L74" s="5"/>
      <c r="M74" s="6" t="s">
        <v>18</v>
      </c>
      <c r="N74" s="6" t="s">
        <v>6</v>
      </c>
      <c r="O74" s="6" t="s">
        <v>87</v>
      </c>
      <c r="P74" s="6" t="s">
        <v>53</v>
      </c>
      <c r="Q74" s="5"/>
    </row>
    <row r="75" spans="1:17" ht="42.75">
      <c r="A75" s="6" t="s">
        <v>488</v>
      </c>
      <c r="B75" s="6" t="s">
        <v>489</v>
      </c>
      <c r="C75" s="6" t="s">
        <v>459</v>
      </c>
      <c r="D75" s="6" t="s">
        <v>465</v>
      </c>
      <c r="E75" s="5" t="s">
        <v>24</v>
      </c>
      <c r="F75" s="5" t="s">
        <v>490</v>
      </c>
      <c r="G75" s="6" t="s">
        <v>179</v>
      </c>
      <c r="H75" s="5" t="s">
        <v>147</v>
      </c>
      <c r="I75" s="5" t="s">
        <v>491</v>
      </c>
      <c r="J75" s="5" t="s">
        <v>492</v>
      </c>
      <c r="K75" s="5" t="s">
        <v>493</v>
      </c>
      <c r="L75" s="5"/>
      <c r="M75" s="6" t="s">
        <v>18</v>
      </c>
      <c r="N75" s="6" t="s">
        <v>6</v>
      </c>
      <c r="O75" s="6" t="s">
        <v>402</v>
      </c>
      <c r="P75" s="6" t="s">
        <v>53</v>
      </c>
      <c r="Q75" s="5"/>
    </row>
    <row r="76" spans="1:17" ht="42.75">
      <c r="A76" s="6" t="s">
        <v>494</v>
      </c>
      <c r="B76" s="6" t="s">
        <v>489</v>
      </c>
      <c r="C76" s="6" t="s">
        <v>459</v>
      </c>
      <c r="D76" s="6" t="s">
        <v>465</v>
      </c>
      <c r="E76" s="5" t="s">
        <v>24</v>
      </c>
      <c r="F76" s="5" t="s">
        <v>495</v>
      </c>
      <c r="G76" s="6" t="s">
        <v>179</v>
      </c>
      <c r="H76" s="5" t="s">
        <v>147</v>
      </c>
      <c r="I76" s="5" t="s">
        <v>491</v>
      </c>
      <c r="J76" s="5" t="s">
        <v>496</v>
      </c>
      <c r="K76" s="5" t="s">
        <v>493</v>
      </c>
      <c r="L76" s="5"/>
      <c r="M76" s="6" t="s">
        <v>18</v>
      </c>
      <c r="N76" s="6" t="s">
        <v>6</v>
      </c>
      <c r="O76" s="6" t="s">
        <v>402</v>
      </c>
      <c r="P76" s="6" t="s">
        <v>53</v>
      </c>
      <c r="Q76" s="5"/>
    </row>
    <row r="77" spans="1:17" ht="42.75">
      <c r="A77" s="6" t="s">
        <v>497</v>
      </c>
      <c r="B77" s="6" t="s">
        <v>498</v>
      </c>
      <c r="C77" s="6" t="s">
        <v>459</v>
      </c>
      <c r="D77" s="6" t="s">
        <v>465</v>
      </c>
      <c r="E77" s="5" t="s">
        <v>24</v>
      </c>
      <c r="F77" s="5" t="s">
        <v>499</v>
      </c>
      <c r="G77" s="6" t="s">
        <v>179</v>
      </c>
      <c r="H77" s="5" t="s">
        <v>147</v>
      </c>
      <c r="I77" s="5" t="s">
        <v>491</v>
      </c>
      <c r="J77" s="5" t="s">
        <v>500</v>
      </c>
      <c r="K77" s="5" t="s">
        <v>501</v>
      </c>
      <c r="L77" s="5"/>
      <c r="M77" s="6" t="s">
        <v>18</v>
      </c>
      <c r="N77" s="6" t="s">
        <v>6</v>
      </c>
      <c r="O77" s="6" t="s">
        <v>402</v>
      </c>
      <c r="P77" s="6" t="s">
        <v>53</v>
      </c>
      <c r="Q77" s="5"/>
    </row>
    <row r="78" spans="1:17" ht="42.75">
      <c r="A78" s="6" t="s">
        <v>502</v>
      </c>
      <c r="B78" s="6" t="s">
        <v>498</v>
      </c>
      <c r="C78" s="6" t="s">
        <v>459</v>
      </c>
      <c r="D78" s="6" t="s">
        <v>465</v>
      </c>
      <c r="E78" s="5" t="s">
        <v>24</v>
      </c>
      <c r="F78" s="5" t="s">
        <v>503</v>
      </c>
      <c r="G78" s="6" t="s">
        <v>179</v>
      </c>
      <c r="H78" s="5" t="s">
        <v>147</v>
      </c>
      <c r="I78" s="5" t="s">
        <v>491</v>
      </c>
      <c r="J78" s="5" t="s">
        <v>504</v>
      </c>
      <c r="K78" s="5" t="s">
        <v>505</v>
      </c>
      <c r="L78" s="5"/>
      <c r="M78" s="6" t="s">
        <v>18</v>
      </c>
      <c r="N78" s="6" t="s">
        <v>6</v>
      </c>
      <c r="O78" s="6" t="s">
        <v>402</v>
      </c>
      <c r="P78" s="6" t="s">
        <v>53</v>
      </c>
      <c r="Q78" s="5"/>
    </row>
    <row r="79" spans="1:17" ht="42.75">
      <c r="A79" s="6" t="s">
        <v>506</v>
      </c>
      <c r="B79" s="6" t="s">
        <v>498</v>
      </c>
      <c r="C79" s="6" t="s">
        <v>459</v>
      </c>
      <c r="D79" s="6" t="s">
        <v>465</v>
      </c>
      <c r="E79" s="5" t="s">
        <v>24</v>
      </c>
      <c r="F79" s="5" t="s">
        <v>507</v>
      </c>
      <c r="G79" s="6" t="s">
        <v>179</v>
      </c>
      <c r="H79" s="5" t="s">
        <v>147</v>
      </c>
      <c r="I79" s="5" t="s">
        <v>491</v>
      </c>
      <c r="J79" s="5" t="s">
        <v>508</v>
      </c>
      <c r="K79" s="5" t="s">
        <v>509</v>
      </c>
      <c r="L79" s="5"/>
      <c r="M79" s="6" t="s">
        <v>18</v>
      </c>
      <c r="N79" s="6" t="s">
        <v>6</v>
      </c>
      <c r="O79" s="6" t="s">
        <v>402</v>
      </c>
      <c r="P79" s="6" t="s">
        <v>53</v>
      </c>
      <c r="Q79" s="5"/>
    </row>
    <row r="80" spans="1:17" ht="28.5">
      <c r="A80" s="6" t="s">
        <v>510</v>
      </c>
      <c r="B80" s="6" t="s">
        <v>511</v>
      </c>
      <c r="C80" s="6" t="s">
        <v>459</v>
      </c>
      <c r="D80" s="6" t="s">
        <v>286</v>
      </c>
      <c r="E80" s="5" t="s">
        <v>24</v>
      </c>
      <c r="F80" s="5" t="s">
        <v>512</v>
      </c>
      <c r="G80" s="6" t="s">
        <v>57</v>
      </c>
      <c r="H80" s="5" t="s">
        <v>413</v>
      </c>
      <c r="I80" s="5" t="s">
        <v>513</v>
      </c>
      <c r="J80" s="5" t="s">
        <v>415</v>
      </c>
      <c r="K80" s="5" t="s">
        <v>416</v>
      </c>
      <c r="L80" s="5"/>
      <c r="M80" s="6" t="s">
        <v>18</v>
      </c>
      <c r="N80" s="6" t="s">
        <v>6</v>
      </c>
      <c r="O80" s="6" t="s">
        <v>184</v>
      </c>
      <c r="P80" s="6" t="s">
        <v>53</v>
      </c>
      <c r="Q80" s="5"/>
    </row>
    <row r="81" spans="1:17" ht="28.5">
      <c r="A81" s="6" t="s">
        <v>514</v>
      </c>
      <c r="B81" s="6" t="s">
        <v>511</v>
      </c>
      <c r="C81" s="6" t="s">
        <v>459</v>
      </c>
      <c r="D81" s="6" t="s">
        <v>286</v>
      </c>
      <c r="E81" s="5" t="s">
        <v>24</v>
      </c>
      <c r="F81" s="5" t="s">
        <v>515</v>
      </c>
      <c r="G81" s="6" t="s">
        <v>419</v>
      </c>
      <c r="H81" s="5" t="s">
        <v>420</v>
      </c>
      <c r="I81" s="5" t="s">
        <v>516</v>
      </c>
      <c r="J81" s="5" t="s">
        <v>517</v>
      </c>
      <c r="K81" s="5" t="s">
        <v>423</v>
      </c>
      <c r="L81" s="5"/>
      <c r="M81" s="6" t="s">
        <v>18</v>
      </c>
      <c r="N81" s="6" t="s">
        <v>6</v>
      </c>
      <c r="O81" s="6" t="s">
        <v>184</v>
      </c>
      <c r="P81" s="6" t="s">
        <v>53</v>
      </c>
      <c r="Q81" s="5"/>
    </row>
    <row r="82" spans="1:17" ht="57">
      <c r="A82" s="6" t="s">
        <v>518</v>
      </c>
      <c r="B82" s="6" t="s">
        <v>519</v>
      </c>
      <c r="C82" s="6" t="s">
        <v>459</v>
      </c>
      <c r="D82" s="6" t="s">
        <v>520</v>
      </c>
      <c r="E82" s="5" t="s">
        <v>24</v>
      </c>
      <c r="F82" s="5" t="s">
        <v>521</v>
      </c>
      <c r="G82" s="6" t="s">
        <v>428</v>
      </c>
      <c r="H82" s="5" t="s">
        <v>522</v>
      </c>
      <c r="I82" s="5" t="s">
        <v>523</v>
      </c>
      <c r="J82" s="5" t="s">
        <v>524</v>
      </c>
      <c r="K82" s="5" t="s">
        <v>431</v>
      </c>
      <c r="L82" s="5"/>
      <c r="M82" s="6" t="s">
        <v>18</v>
      </c>
      <c r="N82" s="6" t="s">
        <v>6</v>
      </c>
      <c r="O82" s="6" t="s">
        <v>432</v>
      </c>
      <c r="P82" s="6" t="s">
        <v>53</v>
      </c>
      <c r="Q82" s="5"/>
    </row>
    <row r="83" spans="1:17" ht="42.75">
      <c r="A83" s="6" t="s">
        <v>525</v>
      </c>
      <c r="B83" s="6" t="s">
        <v>526</v>
      </c>
      <c r="C83" s="6" t="s">
        <v>527</v>
      </c>
      <c r="D83" s="6"/>
      <c r="E83" s="5" t="s">
        <v>24</v>
      </c>
      <c r="F83" s="5" t="s">
        <v>528</v>
      </c>
      <c r="G83" s="6" t="s">
        <v>47</v>
      </c>
      <c r="H83" s="5" t="s">
        <v>529</v>
      </c>
      <c r="I83" s="5" t="s">
        <v>530</v>
      </c>
      <c r="J83" s="5" t="s">
        <v>531</v>
      </c>
      <c r="K83" s="5" t="s">
        <v>532</v>
      </c>
      <c r="L83" s="5"/>
      <c r="M83" s="6" t="s">
        <v>18</v>
      </c>
      <c r="N83" s="6" t="s">
        <v>6</v>
      </c>
      <c r="O83" s="6" t="s">
        <v>120</v>
      </c>
      <c r="P83" s="6" t="s">
        <v>53</v>
      </c>
      <c r="Q83" s="5"/>
    </row>
    <row r="84" spans="1:17" ht="42.75">
      <c r="A84" s="6" t="s">
        <v>533</v>
      </c>
      <c r="B84" s="6" t="s">
        <v>526</v>
      </c>
      <c r="C84" s="6" t="s">
        <v>527</v>
      </c>
      <c r="D84" s="6"/>
      <c r="E84" s="5" t="s">
        <v>24</v>
      </c>
      <c r="F84" s="5" t="s">
        <v>534</v>
      </c>
      <c r="G84" s="6" t="s">
        <v>47</v>
      </c>
      <c r="H84" s="5" t="s">
        <v>535</v>
      </c>
      <c r="I84" s="5" t="s">
        <v>536</v>
      </c>
      <c r="J84" s="5" t="s">
        <v>537</v>
      </c>
      <c r="K84" s="5" t="s">
        <v>538</v>
      </c>
      <c r="L84" s="5"/>
      <c r="M84" s="6" t="s">
        <v>18</v>
      </c>
      <c r="N84" s="6" t="s">
        <v>104</v>
      </c>
      <c r="O84" s="6" t="s">
        <v>120</v>
      </c>
      <c r="P84" s="6" t="s">
        <v>53</v>
      </c>
      <c r="Q84" s="5"/>
    </row>
    <row r="85" spans="1:17" ht="57">
      <c r="A85" s="6" t="s">
        <v>539</v>
      </c>
      <c r="B85" s="6" t="s">
        <v>498</v>
      </c>
      <c r="C85" s="6" t="s">
        <v>459</v>
      </c>
      <c r="D85" s="6" t="s">
        <v>540</v>
      </c>
      <c r="E85" s="5" t="s">
        <v>24</v>
      </c>
      <c r="F85" s="5" t="s">
        <v>541</v>
      </c>
      <c r="G85" s="6" t="s">
        <v>428</v>
      </c>
      <c r="H85" s="5" t="s">
        <v>542</v>
      </c>
      <c r="I85" s="5" t="s">
        <v>543</v>
      </c>
      <c r="J85" s="5" t="s">
        <v>544</v>
      </c>
      <c r="K85" s="5" t="s">
        <v>545</v>
      </c>
      <c r="L85" s="5"/>
      <c r="M85" s="6" t="s">
        <v>18</v>
      </c>
      <c r="N85" s="6" t="s">
        <v>6</v>
      </c>
      <c r="O85" s="6" t="s">
        <v>432</v>
      </c>
      <c r="P85" s="6" t="s">
        <v>53</v>
      </c>
      <c r="Q85" s="5"/>
    </row>
    <row r="86" spans="1:17" ht="42.75">
      <c r="A86" s="6" t="s">
        <v>546</v>
      </c>
      <c r="B86" s="6" t="s">
        <v>458</v>
      </c>
      <c r="C86" s="6" t="s">
        <v>451</v>
      </c>
      <c r="D86" s="6"/>
      <c r="E86" s="5" t="s">
        <v>24</v>
      </c>
      <c r="F86" s="5" t="s">
        <v>547</v>
      </c>
      <c r="G86" s="6" t="s">
        <v>453</v>
      </c>
      <c r="H86" s="5" t="s">
        <v>542</v>
      </c>
      <c r="I86" s="5" t="s">
        <v>548</v>
      </c>
      <c r="J86" s="5" t="s">
        <v>544</v>
      </c>
      <c r="K86" s="5" t="s">
        <v>549</v>
      </c>
      <c r="L86" s="5"/>
      <c r="M86" s="6" t="s">
        <v>18</v>
      </c>
      <c r="N86" s="6" t="s">
        <v>6</v>
      </c>
      <c r="O86" s="6" t="s">
        <v>52</v>
      </c>
      <c r="P86" s="6" t="s">
        <v>53</v>
      </c>
      <c r="Q86" s="5"/>
    </row>
    <row r="87" spans="1:17" ht="42.75">
      <c r="A87" s="6" t="s">
        <v>550</v>
      </c>
      <c r="B87" s="6" t="s">
        <v>551</v>
      </c>
      <c r="C87" s="6" t="s">
        <v>435</v>
      </c>
      <c r="D87" s="6"/>
      <c r="E87" s="5" t="s">
        <v>26</v>
      </c>
      <c r="F87" s="5" t="s">
        <v>552</v>
      </c>
      <c r="G87" s="6" t="s">
        <v>47</v>
      </c>
      <c r="H87" s="5" t="s">
        <v>553</v>
      </c>
      <c r="I87" s="5" t="s">
        <v>554</v>
      </c>
      <c r="J87" s="5" t="s">
        <v>555</v>
      </c>
      <c r="K87" s="5" t="s">
        <v>556</v>
      </c>
      <c r="L87" s="5"/>
      <c r="M87" s="6" t="s">
        <v>18</v>
      </c>
      <c r="N87" s="6" t="s">
        <v>104</v>
      </c>
      <c r="O87" s="6" t="s">
        <v>120</v>
      </c>
      <c r="P87" s="6" t="s">
        <v>53</v>
      </c>
      <c r="Q87" s="5"/>
    </row>
    <row r="88" spans="1:17" ht="42.75">
      <c r="A88" s="6" t="s">
        <v>557</v>
      </c>
      <c r="B88" s="6" t="s">
        <v>558</v>
      </c>
      <c r="C88" s="6" t="s">
        <v>527</v>
      </c>
      <c r="D88" s="6"/>
      <c r="E88" s="5" t="s">
        <v>26</v>
      </c>
      <c r="F88" s="5" t="s">
        <v>559</v>
      </c>
      <c r="G88" s="6" t="s">
        <v>47</v>
      </c>
      <c r="H88" s="5" t="s">
        <v>553</v>
      </c>
      <c r="I88" s="5" t="s">
        <v>560</v>
      </c>
      <c r="J88" s="5" t="s">
        <v>561</v>
      </c>
      <c r="K88" s="5" t="s">
        <v>562</v>
      </c>
      <c r="L88" s="5"/>
      <c r="M88" s="6" t="s">
        <v>18</v>
      </c>
      <c r="N88" s="6" t="s">
        <v>104</v>
      </c>
      <c r="O88" s="6" t="s">
        <v>120</v>
      </c>
      <c r="P88" s="6" t="s">
        <v>53</v>
      </c>
      <c r="Q88" s="5"/>
    </row>
    <row r="89" spans="1:17" ht="42.75">
      <c r="A89" s="6" t="s">
        <v>563</v>
      </c>
      <c r="B89" s="6" t="s">
        <v>564</v>
      </c>
      <c r="C89" s="6" t="s">
        <v>435</v>
      </c>
      <c r="D89" s="6"/>
      <c r="E89" s="5" t="s">
        <v>26</v>
      </c>
      <c r="F89" s="5" t="s">
        <v>565</v>
      </c>
      <c r="G89" s="6" t="s">
        <v>57</v>
      </c>
      <c r="H89" s="5" t="s">
        <v>566</v>
      </c>
      <c r="I89" s="5" t="s">
        <v>567</v>
      </c>
      <c r="J89" s="5" t="s">
        <v>568</v>
      </c>
      <c r="K89" s="5" t="s">
        <v>569</v>
      </c>
      <c r="L89" s="5"/>
      <c r="M89" s="6" t="s">
        <v>18</v>
      </c>
      <c r="N89" s="6" t="s">
        <v>104</v>
      </c>
      <c r="O89" s="6" t="s">
        <v>120</v>
      </c>
      <c r="P89" s="6" t="s">
        <v>53</v>
      </c>
      <c r="Q89" s="5"/>
    </row>
    <row r="90" spans="1:17" ht="42.75">
      <c r="A90" s="6" t="s">
        <v>570</v>
      </c>
      <c r="B90" s="6" t="s">
        <v>571</v>
      </c>
      <c r="C90" s="6" t="s">
        <v>527</v>
      </c>
      <c r="D90" s="6"/>
      <c r="E90" s="5" t="s">
        <v>26</v>
      </c>
      <c r="F90" s="5" t="s">
        <v>572</v>
      </c>
      <c r="G90" s="6" t="s">
        <v>57</v>
      </c>
      <c r="H90" s="5" t="s">
        <v>573</v>
      </c>
      <c r="I90" s="5" t="s">
        <v>574</v>
      </c>
      <c r="J90" s="5" t="s">
        <v>568</v>
      </c>
      <c r="K90" s="5" t="s">
        <v>575</v>
      </c>
      <c r="L90" s="5"/>
      <c r="M90" s="6" t="s">
        <v>18</v>
      </c>
      <c r="N90" s="6" t="s">
        <v>104</v>
      </c>
      <c r="O90" s="6" t="s">
        <v>120</v>
      </c>
      <c r="P90" s="6" t="s">
        <v>53</v>
      </c>
      <c r="Q90" s="5"/>
    </row>
    <row r="91" spans="1:17" ht="28.5">
      <c r="A91" s="6" t="s">
        <v>576</v>
      </c>
      <c r="B91" s="6" t="s">
        <v>564</v>
      </c>
      <c r="C91" s="6" t="s">
        <v>435</v>
      </c>
      <c r="D91" s="6"/>
      <c r="E91" s="5" t="s">
        <v>26</v>
      </c>
      <c r="F91" s="5" t="s">
        <v>577</v>
      </c>
      <c r="G91" s="6" t="s">
        <v>336</v>
      </c>
      <c r="H91" s="5" t="s">
        <v>578</v>
      </c>
      <c r="I91" s="5" t="s">
        <v>579</v>
      </c>
      <c r="J91" s="5" t="s">
        <v>580</v>
      </c>
      <c r="K91" s="5" t="s">
        <v>581</v>
      </c>
      <c r="L91" s="5"/>
      <c r="M91" s="6" t="s">
        <v>18</v>
      </c>
      <c r="N91" s="6" t="s">
        <v>174</v>
      </c>
      <c r="O91" s="6" t="s">
        <v>120</v>
      </c>
      <c r="P91" s="6" t="s">
        <v>53</v>
      </c>
      <c r="Q91" s="5"/>
    </row>
    <row r="92" spans="1:17" ht="28.5">
      <c r="A92" s="6" t="s">
        <v>582</v>
      </c>
      <c r="B92" s="6" t="s">
        <v>571</v>
      </c>
      <c r="C92" s="6" t="s">
        <v>527</v>
      </c>
      <c r="D92" s="6"/>
      <c r="E92" s="5" t="s">
        <v>26</v>
      </c>
      <c r="F92" s="5" t="s">
        <v>583</v>
      </c>
      <c r="G92" s="6" t="s">
        <v>336</v>
      </c>
      <c r="H92" s="5" t="s">
        <v>584</v>
      </c>
      <c r="I92" s="5" t="s">
        <v>579</v>
      </c>
      <c r="J92" s="5" t="s">
        <v>580</v>
      </c>
      <c r="K92" s="5" t="s">
        <v>581</v>
      </c>
      <c r="L92" s="5"/>
      <c r="M92" s="6" t="s">
        <v>18</v>
      </c>
      <c r="N92" s="6" t="s">
        <v>174</v>
      </c>
      <c r="O92" s="6" t="s">
        <v>120</v>
      </c>
      <c r="P92" s="6" t="s">
        <v>53</v>
      </c>
      <c r="Q92" s="5"/>
    </row>
    <row r="93" spans="1:17" ht="42.75">
      <c r="A93" s="6" t="s">
        <v>585</v>
      </c>
      <c r="B93" s="6" t="s">
        <v>586</v>
      </c>
      <c r="C93" s="6" t="s">
        <v>435</v>
      </c>
      <c r="D93" s="6"/>
      <c r="E93" s="5" t="s">
        <v>26</v>
      </c>
      <c r="F93" s="5" t="s">
        <v>587</v>
      </c>
      <c r="G93" s="6" t="s">
        <v>57</v>
      </c>
      <c r="H93" s="5" t="s">
        <v>588</v>
      </c>
      <c r="I93" s="5" t="s">
        <v>589</v>
      </c>
      <c r="J93" s="5" t="s">
        <v>590</v>
      </c>
      <c r="K93" s="5" t="s">
        <v>591</v>
      </c>
      <c r="L93" s="5"/>
      <c r="M93" s="6" t="s">
        <v>18</v>
      </c>
      <c r="N93" s="6" t="s">
        <v>104</v>
      </c>
      <c r="O93" s="6" t="s">
        <v>120</v>
      </c>
      <c r="P93" s="6" t="s">
        <v>53</v>
      </c>
      <c r="Q93" s="5"/>
    </row>
    <row r="94" spans="1:17" ht="42.75">
      <c r="A94" s="6" t="s">
        <v>592</v>
      </c>
      <c r="B94" s="6" t="s">
        <v>593</v>
      </c>
      <c r="C94" s="6" t="s">
        <v>527</v>
      </c>
      <c r="D94" s="6"/>
      <c r="E94" s="5" t="s">
        <v>26</v>
      </c>
      <c r="F94" s="5" t="s">
        <v>594</v>
      </c>
      <c r="G94" s="6" t="s">
        <v>57</v>
      </c>
      <c r="H94" s="5" t="s">
        <v>595</v>
      </c>
      <c r="I94" s="5" t="s">
        <v>596</v>
      </c>
      <c r="J94" s="5" t="s">
        <v>590</v>
      </c>
      <c r="K94" s="5" t="s">
        <v>597</v>
      </c>
      <c r="L94" s="5"/>
      <c r="M94" s="6" t="s">
        <v>18</v>
      </c>
      <c r="N94" s="6" t="s">
        <v>104</v>
      </c>
      <c r="O94" s="6" t="s">
        <v>120</v>
      </c>
      <c r="P94" s="6" t="s">
        <v>53</v>
      </c>
      <c r="Q94" s="5"/>
    </row>
    <row r="95" spans="1:17" ht="28.5">
      <c r="A95" s="6" t="s">
        <v>598</v>
      </c>
      <c r="B95" s="6" t="s">
        <v>586</v>
      </c>
      <c r="C95" s="6" t="s">
        <v>435</v>
      </c>
      <c r="D95" s="6"/>
      <c r="E95" s="5" t="s">
        <v>26</v>
      </c>
      <c r="F95" s="5" t="s">
        <v>599</v>
      </c>
      <c r="G95" s="6" t="s">
        <v>100</v>
      </c>
      <c r="H95" s="5" t="s">
        <v>600</v>
      </c>
      <c r="I95" s="5" t="s">
        <v>601</v>
      </c>
      <c r="J95" s="5" t="s">
        <v>602</v>
      </c>
      <c r="K95" s="5" t="s">
        <v>603</v>
      </c>
      <c r="L95" s="5"/>
      <c r="M95" s="6" t="s">
        <v>18</v>
      </c>
      <c r="N95" s="6" t="s">
        <v>104</v>
      </c>
      <c r="O95" s="6" t="s">
        <v>87</v>
      </c>
      <c r="P95" s="6" t="s">
        <v>53</v>
      </c>
      <c r="Q95" s="5"/>
    </row>
    <row r="96" spans="1:17" ht="28.5">
      <c r="A96" s="6" t="s">
        <v>604</v>
      </c>
      <c r="B96" s="6" t="s">
        <v>593</v>
      </c>
      <c r="C96" s="6" t="s">
        <v>527</v>
      </c>
      <c r="D96" s="6"/>
      <c r="E96" s="5" t="s">
        <v>26</v>
      </c>
      <c r="F96" s="5" t="s">
        <v>605</v>
      </c>
      <c r="G96" s="6" t="s">
        <v>100</v>
      </c>
      <c r="H96" s="5" t="s">
        <v>606</v>
      </c>
      <c r="I96" s="5" t="s">
        <v>601</v>
      </c>
      <c r="J96" s="5" t="s">
        <v>602</v>
      </c>
      <c r="K96" s="5" t="s">
        <v>603</v>
      </c>
      <c r="L96" s="5"/>
      <c r="M96" s="6" t="s">
        <v>18</v>
      </c>
      <c r="N96" s="6" t="s">
        <v>104</v>
      </c>
      <c r="O96" s="6" t="s">
        <v>87</v>
      </c>
      <c r="P96" s="6" t="s">
        <v>53</v>
      </c>
      <c r="Q96" s="5"/>
    </row>
    <row r="97" spans="1:17" ht="28.5">
      <c r="A97" s="6" t="s">
        <v>607</v>
      </c>
      <c r="B97" s="6" t="s">
        <v>608</v>
      </c>
      <c r="C97" s="6"/>
      <c r="D97" s="6"/>
      <c r="E97" s="5" t="s">
        <v>26</v>
      </c>
      <c r="F97" s="5" t="s">
        <v>609</v>
      </c>
      <c r="G97" s="6" t="s">
        <v>47</v>
      </c>
      <c r="H97" s="5" t="s">
        <v>610</v>
      </c>
      <c r="I97" s="5" t="s">
        <v>611</v>
      </c>
      <c r="J97" s="5" t="s">
        <v>612</v>
      </c>
      <c r="K97" s="5" t="s">
        <v>613</v>
      </c>
      <c r="L97" s="5"/>
      <c r="M97" s="6" t="s">
        <v>18</v>
      </c>
      <c r="N97" s="6" t="s">
        <v>174</v>
      </c>
      <c r="O97" s="6" t="s">
        <v>52</v>
      </c>
      <c r="P97" s="6" t="s">
        <v>53</v>
      </c>
      <c r="Q97" s="5"/>
    </row>
    <row r="98" spans="1:17" ht="28.5">
      <c r="A98" s="6" t="s">
        <v>614</v>
      </c>
      <c r="B98" s="6" t="s">
        <v>615</v>
      </c>
      <c r="C98" s="6" t="s">
        <v>616</v>
      </c>
      <c r="D98" s="6"/>
      <c r="E98" s="5" t="s">
        <v>15</v>
      </c>
      <c r="F98" s="5" t="s">
        <v>617</v>
      </c>
      <c r="G98" s="6" t="s">
        <v>47</v>
      </c>
      <c r="H98" s="5" t="s">
        <v>147</v>
      </c>
      <c r="I98" s="5" t="s">
        <v>618</v>
      </c>
      <c r="J98" s="5" t="s">
        <v>149</v>
      </c>
      <c r="K98" s="5" t="s">
        <v>619</v>
      </c>
      <c r="L98" s="5"/>
      <c r="M98" s="6" t="s">
        <v>18</v>
      </c>
      <c r="N98" s="6" t="s">
        <v>104</v>
      </c>
      <c r="O98" s="6" t="s">
        <v>52</v>
      </c>
      <c r="P98" s="6" t="s">
        <v>53</v>
      </c>
      <c r="Q98" s="5"/>
    </row>
    <row r="99" spans="1:17" ht="42.75">
      <c r="A99" s="6" t="s">
        <v>620</v>
      </c>
      <c r="B99" s="6" t="s">
        <v>621</v>
      </c>
      <c r="C99" s="6" t="s">
        <v>616</v>
      </c>
      <c r="D99" s="6"/>
      <c r="E99" s="5" t="s">
        <v>15</v>
      </c>
      <c r="F99" s="5" t="s">
        <v>622</v>
      </c>
      <c r="G99" s="6" t="s">
        <v>428</v>
      </c>
      <c r="H99" s="5" t="s">
        <v>623</v>
      </c>
      <c r="I99" s="5" t="s">
        <v>624</v>
      </c>
      <c r="J99" s="5" t="s">
        <v>625</v>
      </c>
      <c r="K99" s="5" t="s">
        <v>626</v>
      </c>
      <c r="L99" s="5"/>
      <c r="M99" s="6" t="s">
        <v>18</v>
      </c>
      <c r="N99" s="6" t="s">
        <v>6</v>
      </c>
      <c r="O99" s="6" t="s">
        <v>432</v>
      </c>
      <c r="P99" s="6" t="s">
        <v>53</v>
      </c>
      <c r="Q99" s="5"/>
    </row>
    <row r="100" spans="1:17" ht="42.75">
      <c r="A100" s="6" t="s">
        <v>627</v>
      </c>
      <c r="B100" s="6" t="s">
        <v>628</v>
      </c>
      <c r="C100" s="6" t="s">
        <v>616</v>
      </c>
      <c r="D100" s="6" t="s">
        <v>177</v>
      </c>
      <c r="E100" s="5" t="s">
        <v>15</v>
      </c>
      <c r="F100" s="5" t="s">
        <v>629</v>
      </c>
      <c r="G100" s="6" t="s">
        <v>179</v>
      </c>
      <c r="H100" s="5" t="s">
        <v>630</v>
      </c>
      <c r="I100" s="5" t="s">
        <v>631</v>
      </c>
      <c r="J100" s="5" t="s">
        <v>632</v>
      </c>
      <c r="K100" s="5" t="s">
        <v>633</v>
      </c>
      <c r="L100" s="5"/>
      <c r="M100" s="6" t="s">
        <v>18</v>
      </c>
      <c r="N100" s="6" t="s">
        <v>6</v>
      </c>
      <c r="O100" s="6" t="s">
        <v>184</v>
      </c>
      <c r="P100" s="6" t="s">
        <v>53</v>
      </c>
      <c r="Q100" s="5"/>
    </row>
    <row r="101" spans="1:17" ht="42.75">
      <c r="A101" s="6" t="s">
        <v>634</v>
      </c>
      <c r="B101" s="6" t="s">
        <v>635</v>
      </c>
      <c r="C101" s="6" t="s">
        <v>616</v>
      </c>
      <c r="D101" s="6" t="s">
        <v>177</v>
      </c>
      <c r="E101" s="5" t="s">
        <v>15</v>
      </c>
      <c r="F101" s="5" t="s">
        <v>636</v>
      </c>
      <c r="G101" s="6" t="s">
        <v>179</v>
      </c>
      <c r="H101" s="5" t="s">
        <v>630</v>
      </c>
      <c r="I101" s="5" t="s">
        <v>631</v>
      </c>
      <c r="J101" s="5" t="s">
        <v>637</v>
      </c>
      <c r="K101" s="5" t="s">
        <v>638</v>
      </c>
      <c r="L101" s="5"/>
      <c r="M101" s="6" t="s">
        <v>18</v>
      </c>
      <c r="N101" s="6" t="s">
        <v>6</v>
      </c>
      <c r="O101" s="6" t="s">
        <v>184</v>
      </c>
      <c r="P101" s="6" t="s">
        <v>53</v>
      </c>
      <c r="Q101" s="5"/>
    </row>
    <row r="102" spans="1:17" ht="42.75">
      <c r="A102" s="6" t="s">
        <v>639</v>
      </c>
      <c r="B102" s="6" t="s">
        <v>635</v>
      </c>
      <c r="C102" s="6" t="s">
        <v>616</v>
      </c>
      <c r="D102" s="6" t="s">
        <v>177</v>
      </c>
      <c r="E102" s="5" t="s">
        <v>15</v>
      </c>
      <c r="F102" s="5" t="s">
        <v>640</v>
      </c>
      <c r="G102" s="6" t="s">
        <v>179</v>
      </c>
      <c r="H102" s="5" t="s">
        <v>630</v>
      </c>
      <c r="I102" s="5" t="s">
        <v>631</v>
      </c>
      <c r="J102" s="5" t="s">
        <v>408</v>
      </c>
      <c r="K102" s="5" t="s">
        <v>638</v>
      </c>
      <c r="L102" s="5"/>
      <c r="M102" s="6" t="s">
        <v>18</v>
      </c>
      <c r="N102" s="6" t="s">
        <v>6</v>
      </c>
      <c r="O102" s="6" t="s">
        <v>184</v>
      </c>
      <c r="P102" s="6" t="s">
        <v>53</v>
      </c>
      <c r="Q102" s="5"/>
    </row>
    <row r="103" spans="1:17" ht="42.75">
      <c r="A103" s="6" t="s">
        <v>641</v>
      </c>
      <c r="B103" s="6" t="s">
        <v>642</v>
      </c>
      <c r="C103" s="6" t="s">
        <v>616</v>
      </c>
      <c r="D103" s="6" t="s">
        <v>177</v>
      </c>
      <c r="E103" s="5" t="s">
        <v>15</v>
      </c>
      <c r="F103" s="5" t="s">
        <v>643</v>
      </c>
      <c r="G103" s="6" t="s">
        <v>179</v>
      </c>
      <c r="H103" s="5" t="s">
        <v>630</v>
      </c>
      <c r="I103" s="5" t="s">
        <v>631</v>
      </c>
      <c r="J103" s="5" t="s">
        <v>400</v>
      </c>
      <c r="K103" s="5" t="s">
        <v>644</v>
      </c>
      <c r="L103" s="5"/>
      <c r="M103" s="6" t="s">
        <v>18</v>
      </c>
      <c r="N103" s="6" t="s">
        <v>6</v>
      </c>
      <c r="O103" s="6" t="s">
        <v>184</v>
      </c>
      <c r="P103" s="6" t="s">
        <v>53</v>
      </c>
      <c r="Q103" s="5"/>
    </row>
    <row r="104" spans="1:17" ht="28.5">
      <c r="A104" s="6" t="s">
        <v>645</v>
      </c>
      <c r="B104" s="6" t="s">
        <v>646</v>
      </c>
      <c r="C104" s="6" t="s">
        <v>616</v>
      </c>
      <c r="D104" s="6"/>
      <c r="E104" s="5" t="s">
        <v>15</v>
      </c>
      <c r="F104" s="5" t="s">
        <v>647</v>
      </c>
      <c r="G104" s="6" t="s">
        <v>57</v>
      </c>
      <c r="H104" s="5" t="s">
        <v>648</v>
      </c>
      <c r="I104" s="5" t="s">
        <v>649</v>
      </c>
      <c r="J104" s="5" t="s">
        <v>344</v>
      </c>
      <c r="K104" s="5" t="s">
        <v>345</v>
      </c>
      <c r="L104" s="5"/>
      <c r="M104" s="6" t="s">
        <v>18</v>
      </c>
      <c r="N104" s="6" t="s">
        <v>104</v>
      </c>
      <c r="O104" s="6" t="s">
        <v>120</v>
      </c>
      <c r="P104" s="6" t="s">
        <v>53</v>
      </c>
      <c r="Q104" s="5"/>
    </row>
    <row r="105" spans="1:17" ht="28.5">
      <c r="A105" s="6" t="s">
        <v>650</v>
      </c>
      <c r="B105" s="6" t="s">
        <v>651</v>
      </c>
      <c r="C105" s="6" t="s">
        <v>616</v>
      </c>
      <c r="D105" s="6" t="s">
        <v>177</v>
      </c>
      <c r="E105" s="5" t="s">
        <v>15</v>
      </c>
      <c r="F105" s="5" t="s">
        <v>652</v>
      </c>
      <c r="G105" s="6" t="s">
        <v>57</v>
      </c>
      <c r="H105" s="5" t="s">
        <v>653</v>
      </c>
      <c r="I105" s="5" t="s">
        <v>654</v>
      </c>
      <c r="J105" s="5" t="s">
        <v>655</v>
      </c>
      <c r="K105" s="5" t="s">
        <v>656</v>
      </c>
      <c r="L105" s="5"/>
      <c r="M105" s="6" t="s">
        <v>18</v>
      </c>
      <c r="N105" s="6" t="s">
        <v>104</v>
      </c>
      <c r="O105" s="6" t="s">
        <v>120</v>
      </c>
      <c r="P105" s="6" t="s">
        <v>53</v>
      </c>
      <c r="Q105" s="5"/>
    </row>
    <row r="106" spans="1:17" ht="28.5">
      <c r="A106" s="6" t="s">
        <v>657</v>
      </c>
      <c r="B106" s="6" t="s">
        <v>651</v>
      </c>
      <c r="C106" s="6" t="s">
        <v>616</v>
      </c>
      <c r="D106" s="6" t="s">
        <v>177</v>
      </c>
      <c r="E106" s="5" t="s">
        <v>15</v>
      </c>
      <c r="F106" s="5" t="s">
        <v>658</v>
      </c>
      <c r="G106" s="6" t="s">
        <v>57</v>
      </c>
      <c r="H106" s="5" t="s">
        <v>659</v>
      </c>
      <c r="I106" s="5" t="s">
        <v>660</v>
      </c>
      <c r="J106" s="5" t="s">
        <v>661</v>
      </c>
      <c r="K106" s="5" t="s">
        <v>662</v>
      </c>
      <c r="L106" s="5"/>
      <c r="M106" s="6" t="s">
        <v>18</v>
      </c>
      <c r="N106" s="6" t="s">
        <v>104</v>
      </c>
      <c r="O106" s="6" t="s">
        <v>120</v>
      </c>
      <c r="P106" s="6" t="s">
        <v>53</v>
      </c>
      <c r="Q106" s="5"/>
    </row>
    <row r="107" spans="1:17" ht="28.5">
      <c r="A107" s="6" t="s">
        <v>663</v>
      </c>
      <c r="B107" s="6" t="s">
        <v>651</v>
      </c>
      <c r="C107" s="6" t="s">
        <v>616</v>
      </c>
      <c r="D107" s="6" t="s">
        <v>664</v>
      </c>
      <c r="E107" s="5" t="s">
        <v>15</v>
      </c>
      <c r="F107" s="5" t="s">
        <v>665</v>
      </c>
      <c r="G107" s="6" t="s">
        <v>57</v>
      </c>
      <c r="H107" s="5" t="s">
        <v>666</v>
      </c>
      <c r="I107" s="5" t="s">
        <v>667</v>
      </c>
      <c r="J107" s="5" t="s">
        <v>668</v>
      </c>
      <c r="K107" s="5" t="s">
        <v>669</v>
      </c>
      <c r="L107" s="5"/>
      <c r="M107" s="6" t="s">
        <v>18</v>
      </c>
      <c r="N107" s="6" t="s">
        <v>104</v>
      </c>
      <c r="O107" s="6" t="s">
        <v>120</v>
      </c>
      <c r="P107" s="6" t="s">
        <v>53</v>
      </c>
      <c r="Q107" s="5"/>
    </row>
    <row r="108" spans="1:17" ht="42.75">
      <c r="A108" s="6" t="s">
        <v>670</v>
      </c>
      <c r="B108" s="6" t="s">
        <v>671</v>
      </c>
      <c r="C108" s="6" t="s">
        <v>616</v>
      </c>
      <c r="D108" s="6" t="s">
        <v>177</v>
      </c>
      <c r="E108" s="5" t="s">
        <v>15</v>
      </c>
      <c r="F108" s="5" t="s">
        <v>672</v>
      </c>
      <c r="G108" s="6" t="s">
        <v>428</v>
      </c>
      <c r="H108" s="5" t="s">
        <v>673</v>
      </c>
      <c r="I108" s="5" t="s">
        <v>674</v>
      </c>
      <c r="J108" s="5" t="s">
        <v>675</v>
      </c>
      <c r="K108" s="5" t="s">
        <v>676</v>
      </c>
      <c r="L108" s="5"/>
      <c r="M108" s="6" t="s">
        <v>18</v>
      </c>
      <c r="N108" s="6" t="s">
        <v>6</v>
      </c>
      <c r="O108" s="6" t="s">
        <v>432</v>
      </c>
      <c r="P108" s="6" t="s">
        <v>53</v>
      </c>
      <c r="Q108" s="5"/>
    </row>
    <row r="109" spans="1:17" ht="42.75">
      <c r="A109" s="6" t="s">
        <v>677</v>
      </c>
      <c r="B109" s="6" t="s">
        <v>678</v>
      </c>
      <c r="C109" s="6" t="s">
        <v>679</v>
      </c>
      <c r="D109" s="6" t="s">
        <v>680</v>
      </c>
      <c r="E109" s="5" t="s">
        <v>20</v>
      </c>
      <c r="F109" s="5" t="s">
        <v>681</v>
      </c>
      <c r="G109" s="6" t="s">
        <v>209</v>
      </c>
      <c r="H109" s="5" t="s">
        <v>682</v>
      </c>
      <c r="I109" s="5" t="s">
        <v>683</v>
      </c>
      <c r="J109" s="5" t="s">
        <v>684</v>
      </c>
      <c r="K109" s="5" t="s">
        <v>685</v>
      </c>
      <c r="L109" s="5"/>
      <c r="M109" s="6" t="s">
        <v>18</v>
      </c>
      <c r="N109" s="6" t="s">
        <v>6</v>
      </c>
      <c r="O109" s="6" t="s">
        <v>20</v>
      </c>
      <c r="P109" s="6" t="s">
        <v>53</v>
      </c>
      <c r="Q109" s="5"/>
    </row>
    <row r="110" spans="1:17" ht="28.5">
      <c r="A110" s="6" t="s">
        <v>686</v>
      </c>
      <c r="B110" s="6" t="s">
        <v>687</v>
      </c>
      <c r="C110" s="6" t="s">
        <v>679</v>
      </c>
      <c r="D110" s="6" t="s">
        <v>680</v>
      </c>
      <c r="E110" s="5" t="s">
        <v>20</v>
      </c>
      <c r="F110" s="5" t="s">
        <v>688</v>
      </c>
      <c r="G110" s="6" t="s">
        <v>209</v>
      </c>
      <c r="H110" s="5" t="s">
        <v>682</v>
      </c>
      <c r="I110" s="5" t="s">
        <v>683</v>
      </c>
      <c r="J110" s="5" t="s">
        <v>684</v>
      </c>
      <c r="K110" s="5" t="s">
        <v>689</v>
      </c>
      <c r="L110" s="5"/>
      <c r="M110" s="6" t="s">
        <v>18</v>
      </c>
      <c r="N110" s="6" t="s">
        <v>6</v>
      </c>
      <c r="O110" s="6" t="s">
        <v>20</v>
      </c>
      <c r="P110" s="6" t="s">
        <v>53</v>
      </c>
      <c r="Q110" s="5"/>
    </row>
    <row r="111" spans="1:17" ht="28.5">
      <c r="A111" s="6" t="s">
        <v>690</v>
      </c>
      <c r="B111" s="6" t="s">
        <v>691</v>
      </c>
      <c r="C111" s="6" t="s">
        <v>679</v>
      </c>
      <c r="D111" s="6" t="s">
        <v>680</v>
      </c>
      <c r="E111" s="5" t="s">
        <v>20</v>
      </c>
      <c r="F111" s="5" t="s">
        <v>692</v>
      </c>
      <c r="G111" s="6" t="s">
        <v>209</v>
      </c>
      <c r="H111" s="5" t="s">
        <v>682</v>
      </c>
      <c r="I111" s="5" t="s">
        <v>683</v>
      </c>
      <c r="J111" s="5" t="s">
        <v>684</v>
      </c>
      <c r="K111" s="5" t="s">
        <v>693</v>
      </c>
      <c r="L111" s="5"/>
      <c r="M111" s="6" t="s">
        <v>18</v>
      </c>
      <c r="N111" s="6" t="s">
        <v>6</v>
      </c>
      <c r="O111" s="6" t="s">
        <v>20</v>
      </c>
      <c r="P111" s="6" t="s">
        <v>53</v>
      </c>
      <c r="Q111" s="5"/>
    </row>
    <row r="112" spans="1:17" ht="28.5">
      <c r="A112" s="6" t="s">
        <v>694</v>
      </c>
      <c r="B112" s="6" t="s">
        <v>695</v>
      </c>
      <c r="C112" s="6" t="s">
        <v>679</v>
      </c>
      <c r="D112" s="6" t="s">
        <v>680</v>
      </c>
      <c r="E112" s="5" t="s">
        <v>20</v>
      </c>
      <c r="F112" s="5" t="s">
        <v>696</v>
      </c>
      <c r="G112" s="6" t="s">
        <v>209</v>
      </c>
      <c r="H112" s="5" t="s">
        <v>682</v>
      </c>
      <c r="I112" s="5" t="s">
        <v>683</v>
      </c>
      <c r="J112" s="5" t="s">
        <v>684</v>
      </c>
      <c r="K112" s="5" t="s">
        <v>697</v>
      </c>
      <c r="L112" s="5"/>
      <c r="M112" s="6" t="s">
        <v>18</v>
      </c>
      <c r="N112" s="6" t="s">
        <v>6</v>
      </c>
      <c r="O112" s="6" t="s">
        <v>20</v>
      </c>
      <c r="P112" s="6" t="s">
        <v>53</v>
      </c>
      <c r="Q112" s="5"/>
    </row>
    <row r="113" spans="1:17" ht="28.5">
      <c r="A113" s="6" t="s">
        <v>698</v>
      </c>
      <c r="B113" s="6" t="s">
        <v>699</v>
      </c>
      <c r="C113" s="6" t="s">
        <v>679</v>
      </c>
      <c r="D113" s="6" t="s">
        <v>680</v>
      </c>
      <c r="E113" s="5" t="s">
        <v>20</v>
      </c>
      <c r="F113" s="5" t="s">
        <v>700</v>
      </c>
      <c r="G113" s="6" t="s">
        <v>209</v>
      </c>
      <c r="H113" s="5" t="s">
        <v>682</v>
      </c>
      <c r="I113" s="5" t="s">
        <v>683</v>
      </c>
      <c r="J113" s="5" t="s">
        <v>684</v>
      </c>
      <c r="K113" s="5" t="s">
        <v>701</v>
      </c>
      <c r="L113" s="5"/>
      <c r="M113" s="6" t="s">
        <v>18</v>
      </c>
      <c r="N113" s="6" t="s">
        <v>6</v>
      </c>
      <c r="O113" s="6" t="s">
        <v>20</v>
      </c>
      <c r="P113" s="6" t="s">
        <v>53</v>
      </c>
      <c r="Q113" s="5"/>
    </row>
    <row r="114" spans="1:17" ht="28.5">
      <c r="A114" s="6" t="s">
        <v>702</v>
      </c>
      <c r="B114" s="6" t="s">
        <v>703</v>
      </c>
      <c r="C114" s="6" t="s">
        <v>679</v>
      </c>
      <c r="D114" s="6" t="s">
        <v>680</v>
      </c>
      <c r="E114" s="5" t="s">
        <v>20</v>
      </c>
      <c r="F114" s="5" t="s">
        <v>704</v>
      </c>
      <c r="G114" s="6" t="s">
        <v>209</v>
      </c>
      <c r="H114" s="5" t="s">
        <v>682</v>
      </c>
      <c r="I114" s="5" t="s">
        <v>683</v>
      </c>
      <c r="J114" s="5" t="s">
        <v>684</v>
      </c>
      <c r="K114" s="5" t="s">
        <v>705</v>
      </c>
      <c r="L114" s="5"/>
      <c r="M114" s="6" t="s">
        <v>18</v>
      </c>
      <c r="N114" s="6" t="s">
        <v>6</v>
      </c>
      <c r="O114" s="6" t="s">
        <v>20</v>
      </c>
      <c r="P114" s="6" t="s">
        <v>53</v>
      </c>
      <c r="Q114" s="5"/>
    </row>
    <row r="115" spans="1:17" ht="28.5">
      <c r="A115" s="6" t="s">
        <v>706</v>
      </c>
      <c r="B115" s="6" t="s">
        <v>707</v>
      </c>
      <c r="C115" s="6" t="s">
        <v>679</v>
      </c>
      <c r="D115" s="6" t="s">
        <v>680</v>
      </c>
      <c r="E115" s="5" t="s">
        <v>20</v>
      </c>
      <c r="F115" s="5" t="s">
        <v>708</v>
      </c>
      <c r="G115" s="6" t="s">
        <v>209</v>
      </c>
      <c r="H115" s="5" t="s">
        <v>682</v>
      </c>
      <c r="I115" s="5" t="s">
        <v>683</v>
      </c>
      <c r="J115" s="5" t="s">
        <v>684</v>
      </c>
      <c r="K115" s="5" t="s">
        <v>709</v>
      </c>
      <c r="L115" s="5"/>
      <c r="M115" s="6" t="s">
        <v>18</v>
      </c>
      <c r="N115" s="6" t="s">
        <v>6</v>
      </c>
      <c r="O115" s="6" t="s">
        <v>20</v>
      </c>
      <c r="P115" s="6" t="s">
        <v>53</v>
      </c>
      <c r="Q115" s="5"/>
    </row>
    <row r="116" spans="1:17" ht="28.5">
      <c r="A116" s="6" t="s">
        <v>710</v>
      </c>
      <c r="B116" s="6" t="s">
        <v>711</v>
      </c>
      <c r="C116" s="6" t="s">
        <v>679</v>
      </c>
      <c r="D116" s="6" t="s">
        <v>680</v>
      </c>
      <c r="E116" s="5" t="s">
        <v>20</v>
      </c>
      <c r="F116" s="5" t="s">
        <v>712</v>
      </c>
      <c r="G116" s="6" t="s">
        <v>209</v>
      </c>
      <c r="H116" s="5" t="s">
        <v>682</v>
      </c>
      <c r="I116" s="5" t="s">
        <v>683</v>
      </c>
      <c r="J116" s="5" t="s">
        <v>684</v>
      </c>
      <c r="K116" s="5" t="s">
        <v>709</v>
      </c>
      <c r="L116" s="5"/>
      <c r="M116" s="6" t="s">
        <v>18</v>
      </c>
      <c r="N116" s="6" t="s">
        <v>6</v>
      </c>
      <c r="O116" s="6" t="s">
        <v>20</v>
      </c>
      <c r="P116" s="6" t="s">
        <v>53</v>
      </c>
      <c r="Q116" s="5"/>
    </row>
    <row r="117" spans="1:17" ht="28.5">
      <c r="A117" s="6" t="s">
        <v>713</v>
      </c>
      <c r="B117" s="6" t="s">
        <v>714</v>
      </c>
      <c r="C117" s="6" t="s">
        <v>679</v>
      </c>
      <c r="D117" s="6" t="s">
        <v>680</v>
      </c>
      <c r="E117" s="5" t="s">
        <v>20</v>
      </c>
      <c r="F117" s="5" t="s">
        <v>715</v>
      </c>
      <c r="G117" s="6" t="s">
        <v>209</v>
      </c>
      <c r="H117" s="5" t="s">
        <v>716</v>
      </c>
      <c r="I117" s="5" t="s">
        <v>717</v>
      </c>
      <c r="J117" s="5" t="s">
        <v>718</v>
      </c>
      <c r="K117" s="5" t="s">
        <v>719</v>
      </c>
      <c r="L117" s="5"/>
      <c r="M117" s="6" t="s">
        <v>18</v>
      </c>
      <c r="N117" s="6" t="s">
        <v>6</v>
      </c>
      <c r="O117" s="6" t="s">
        <v>720</v>
      </c>
      <c r="P117" s="6" t="s">
        <v>53</v>
      </c>
      <c r="Q117" s="5"/>
    </row>
    <row r="118" spans="1:17" ht="28.5">
      <c r="A118" s="6" t="s">
        <v>721</v>
      </c>
      <c r="B118" s="6" t="s">
        <v>714</v>
      </c>
      <c r="C118" s="6" t="s">
        <v>679</v>
      </c>
      <c r="D118" s="6" t="s">
        <v>680</v>
      </c>
      <c r="E118" s="5" t="s">
        <v>20</v>
      </c>
      <c r="F118" s="5" t="s">
        <v>722</v>
      </c>
      <c r="G118" s="6" t="s">
        <v>209</v>
      </c>
      <c r="H118" s="5" t="s">
        <v>716</v>
      </c>
      <c r="I118" s="5" t="s">
        <v>723</v>
      </c>
      <c r="J118" s="5" t="s">
        <v>718</v>
      </c>
      <c r="K118" s="5" t="s">
        <v>719</v>
      </c>
      <c r="L118" s="5"/>
      <c r="M118" s="6" t="s">
        <v>18</v>
      </c>
      <c r="N118" s="6" t="s">
        <v>6</v>
      </c>
      <c r="O118" s="6" t="s">
        <v>720</v>
      </c>
      <c r="P118" s="6" t="s">
        <v>53</v>
      </c>
      <c r="Q118" s="5"/>
    </row>
    <row r="119" spans="1:17" ht="28.5">
      <c r="A119" s="6" t="s">
        <v>724</v>
      </c>
      <c r="B119" s="6" t="s">
        <v>714</v>
      </c>
      <c r="C119" s="6" t="s">
        <v>679</v>
      </c>
      <c r="D119" s="6" t="s">
        <v>680</v>
      </c>
      <c r="E119" s="5" t="s">
        <v>20</v>
      </c>
      <c r="F119" s="5" t="s">
        <v>725</v>
      </c>
      <c r="G119" s="6" t="s">
        <v>209</v>
      </c>
      <c r="H119" s="5" t="s">
        <v>716</v>
      </c>
      <c r="I119" s="5" t="s">
        <v>726</v>
      </c>
      <c r="J119" s="5" t="s">
        <v>718</v>
      </c>
      <c r="K119" s="5" t="s">
        <v>719</v>
      </c>
      <c r="L119" s="5"/>
      <c r="M119" s="6" t="s">
        <v>18</v>
      </c>
      <c r="N119" s="6" t="s">
        <v>6</v>
      </c>
      <c r="O119" s="6" t="s">
        <v>720</v>
      </c>
      <c r="P119" s="6" t="s">
        <v>53</v>
      </c>
      <c r="Q119" s="5"/>
    </row>
    <row r="120" spans="1:17" ht="28.5">
      <c r="A120" s="6" t="s">
        <v>727</v>
      </c>
      <c r="B120" s="6" t="s">
        <v>678</v>
      </c>
      <c r="C120" s="6" t="s">
        <v>123</v>
      </c>
      <c r="D120" s="6" t="s">
        <v>124</v>
      </c>
      <c r="E120" s="5" t="s">
        <v>20</v>
      </c>
      <c r="F120" s="5" t="s">
        <v>728</v>
      </c>
      <c r="G120" s="6" t="s">
        <v>115</v>
      </c>
      <c r="H120" s="5" t="s">
        <v>729</v>
      </c>
      <c r="I120" s="5" t="s">
        <v>730</v>
      </c>
      <c r="J120" s="5" t="s">
        <v>731</v>
      </c>
      <c r="K120" s="5" t="s">
        <v>732</v>
      </c>
      <c r="L120" s="5"/>
      <c r="M120" s="6" t="s">
        <v>18</v>
      </c>
      <c r="N120" s="6" t="s">
        <v>6</v>
      </c>
      <c r="O120" s="6" t="s">
        <v>110</v>
      </c>
      <c r="P120" s="6" t="s">
        <v>53</v>
      </c>
      <c r="Q120" s="5"/>
    </row>
    <row r="121" spans="1:17" ht="42.75">
      <c r="A121" s="6" t="s">
        <v>733</v>
      </c>
      <c r="B121" s="6" t="s">
        <v>734</v>
      </c>
      <c r="C121" s="6" t="s">
        <v>735</v>
      </c>
      <c r="D121" s="6"/>
      <c r="E121" s="5" t="s">
        <v>27</v>
      </c>
      <c r="F121" s="5" t="s">
        <v>736</v>
      </c>
      <c r="G121" s="6" t="s">
        <v>453</v>
      </c>
      <c r="H121" s="5" t="s">
        <v>737</v>
      </c>
      <c r="I121" s="5" t="s">
        <v>738</v>
      </c>
      <c r="J121" s="5" t="s">
        <v>739</v>
      </c>
      <c r="K121" s="5" t="s">
        <v>740</v>
      </c>
      <c r="L121" s="5"/>
      <c r="M121" s="6" t="s">
        <v>18</v>
      </c>
      <c r="N121" s="6" t="s">
        <v>104</v>
      </c>
      <c r="O121" s="6" t="s">
        <v>52</v>
      </c>
      <c r="P121" s="6" t="s">
        <v>53</v>
      </c>
      <c r="Q121" s="5"/>
    </row>
    <row r="122" spans="1:17" ht="42.75">
      <c r="A122" s="6" t="s">
        <v>741</v>
      </c>
      <c r="B122" s="6" t="s">
        <v>742</v>
      </c>
      <c r="C122" s="6" t="s">
        <v>735</v>
      </c>
      <c r="D122" s="6"/>
      <c r="E122" s="5" t="s">
        <v>27</v>
      </c>
      <c r="F122" s="5" t="s">
        <v>743</v>
      </c>
      <c r="G122" s="6" t="s">
        <v>453</v>
      </c>
      <c r="H122" s="5" t="s">
        <v>737</v>
      </c>
      <c r="I122" s="5" t="s">
        <v>738</v>
      </c>
      <c r="J122" s="5" t="s">
        <v>739</v>
      </c>
      <c r="K122" s="5" t="s">
        <v>744</v>
      </c>
      <c r="L122" s="5"/>
      <c r="M122" s="6" t="s">
        <v>18</v>
      </c>
      <c r="N122" s="6" t="s">
        <v>104</v>
      </c>
      <c r="O122" s="6" t="s">
        <v>52</v>
      </c>
      <c r="P122" s="6" t="s">
        <v>53</v>
      </c>
      <c r="Q122" s="5"/>
    </row>
    <row r="123" spans="1:17" ht="42.75">
      <c r="A123" s="6" t="s">
        <v>745</v>
      </c>
      <c r="B123" s="6" t="s">
        <v>746</v>
      </c>
      <c r="C123" s="6" t="s">
        <v>735</v>
      </c>
      <c r="D123" s="6"/>
      <c r="E123" s="5" t="s">
        <v>27</v>
      </c>
      <c r="F123" s="5" t="s">
        <v>747</v>
      </c>
      <c r="G123" s="6" t="s">
        <v>453</v>
      </c>
      <c r="H123" s="5" t="s">
        <v>737</v>
      </c>
      <c r="I123" s="5" t="s">
        <v>738</v>
      </c>
      <c r="J123" s="5" t="s">
        <v>739</v>
      </c>
      <c r="K123" s="5" t="s">
        <v>748</v>
      </c>
      <c r="L123" s="5"/>
      <c r="M123" s="6" t="s">
        <v>18</v>
      </c>
      <c r="N123" s="6" t="s">
        <v>104</v>
      </c>
      <c r="O123" s="6" t="s">
        <v>52</v>
      </c>
      <c r="P123" s="6" t="s">
        <v>53</v>
      </c>
      <c r="Q123" s="5"/>
    </row>
    <row r="124" spans="1:17" ht="42.75">
      <c r="A124" s="6" t="s">
        <v>749</v>
      </c>
      <c r="B124" s="6" t="s">
        <v>750</v>
      </c>
      <c r="C124" s="6" t="s">
        <v>735</v>
      </c>
      <c r="D124" s="6"/>
      <c r="E124" s="5" t="s">
        <v>27</v>
      </c>
      <c r="F124" s="5" t="s">
        <v>751</v>
      </c>
      <c r="G124" s="6" t="s">
        <v>453</v>
      </c>
      <c r="H124" s="5" t="s">
        <v>737</v>
      </c>
      <c r="I124" s="5" t="s">
        <v>738</v>
      </c>
      <c r="J124" s="5" t="s">
        <v>739</v>
      </c>
      <c r="K124" s="5" t="s">
        <v>752</v>
      </c>
      <c r="L124" s="5"/>
      <c r="M124" s="6" t="s">
        <v>18</v>
      </c>
      <c r="N124" s="6" t="s">
        <v>104</v>
      </c>
      <c r="O124" s="6" t="s">
        <v>52</v>
      </c>
      <c r="P124" s="6" t="s">
        <v>53</v>
      </c>
      <c r="Q124" s="5"/>
    </row>
    <row r="125" spans="1:17" ht="42.75">
      <c r="A125" s="6" t="s">
        <v>753</v>
      </c>
      <c r="B125" s="6" t="s">
        <v>754</v>
      </c>
      <c r="C125" s="6" t="s">
        <v>735</v>
      </c>
      <c r="D125" s="6"/>
      <c r="E125" s="5" t="s">
        <v>27</v>
      </c>
      <c r="F125" s="5" t="s">
        <v>755</v>
      </c>
      <c r="G125" s="6" t="s">
        <v>453</v>
      </c>
      <c r="H125" s="5" t="s">
        <v>737</v>
      </c>
      <c r="I125" s="5" t="s">
        <v>738</v>
      </c>
      <c r="J125" s="5" t="s">
        <v>739</v>
      </c>
      <c r="K125" s="5" t="s">
        <v>756</v>
      </c>
      <c r="L125" s="5"/>
      <c r="M125" s="6" t="s">
        <v>18</v>
      </c>
      <c r="N125" s="6" t="s">
        <v>104</v>
      </c>
      <c r="O125" s="6" t="s">
        <v>52</v>
      </c>
      <c r="P125" s="6" t="s">
        <v>53</v>
      </c>
      <c r="Q125" s="5"/>
    </row>
    <row r="126" spans="1:17" ht="42.75">
      <c r="A126" s="6" t="s">
        <v>757</v>
      </c>
      <c r="B126" s="6" t="s">
        <v>758</v>
      </c>
      <c r="C126" s="6" t="s">
        <v>735</v>
      </c>
      <c r="D126" s="6"/>
      <c r="E126" s="5" t="s">
        <v>27</v>
      </c>
      <c r="F126" s="5" t="s">
        <v>759</v>
      </c>
      <c r="G126" s="6" t="s">
        <v>453</v>
      </c>
      <c r="H126" s="5" t="s">
        <v>737</v>
      </c>
      <c r="I126" s="5" t="s">
        <v>738</v>
      </c>
      <c r="J126" s="5" t="s">
        <v>739</v>
      </c>
      <c r="K126" s="5" t="s">
        <v>760</v>
      </c>
      <c r="L126" s="5"/>
      <c r="M126" s="6" t="s">
        <v>18</v>
      </c>
      <c r="N126" s="6" t="s">
        <v>104</v>
      </c>
      <c r="O126" s="6" t="s">
        <v>52</v>
      </c>
      <c r="P126" s="6" t="s">
        <v>53</v>
      </c>
      <c r="Q126" s="5"/>
    </row>
    <row r="127" spans="1:17" ht="42.75">
      <c r="A127" s="6" t="s">
        <v>761</v>
      </c>
      <c r="B127" s="6" t="s">
        <v>762</v>
      </c>
      <c r="C127" s="6" t="s">
        <v>735</v>
      </c>
      <c r="D127" s="6"/>
      <c r="E127" s="5" t="s">
        <v>27</v>
      </c>
      <c r="F127" s="5" t="s">
        <v>763</v>
      </c>
      <c r="G127" s="6" t="s">
        <v>453</v>
      </c>
      <c r="H127" s="5" t="s">
        <v>737</v>
      </c>
      <c r="I127" s="5" t="s">
        <v>738</v>
      </c>
      <c r="J127" s="5" t="s">
        <v>739</v>
      </c>
      <c r="K127" s="5" t="s">
        <v>764</v>
      </c>
      <c r="L127" s="5"/>
      <c r="M127" s="6" t="s">
        <v>18</v>
      </c>
      <c r="N127" s="6" t="s">
        <v>104</v>
      </c>
      <c r="O127" s="6" t="s">
        <v>52</v>
      </c>
      <c r="P127" s="6" t="s">
        <v>53</v>
      </c>
      <c r="Q127" s="5"/>
    </row>
    <row r="128" spans="1:17" ht="42.75">
      <c r="A128" s="6" t="s">
        <v>765</v>
      </c>
      <c r="B128" s="6" t="s">
        <v>608</v>
      </c>
      <c r="C128" s="6" t="s">
        <v>735</v>
      </c>
      <c r="D128" s="6"/>
      <c r="E128" s="5" t="s">
        <v>27</v>
      </c>
      <c r="F128" s="5" t="s">
        <v>766</v>
      </c>
      <c r="G128" s="6" t="s">
        <v>453</v>
      </c>
      <c r="H128" s="5" t="s">
        <v>737</v>
      </c>
      <c r="I128" s="5" t="s">
        <v>738</v>
      </c>
      <c r="J128" s="5" t="s">
        <v>739</v>
      </c>
      <c r="K128" s="5" t="s">
        <v>767</v>
      </c>
      <c r="L128" s="5"/>
      <c r="M128" s="6" t="s">
        <v>18</v>
      </c>
      <c r="N128" s="6" t="s">
        <v>104</v>
      </c>
      <c r="O128" s="6" t="s">
        <v>52</v>
      </c>
      <c r="P128" s="6" t="s">
        <v>53</v>
      </c>
      <c r="Q128" s="5"/>
    </row>
    <row r="129" spans="1:17" ht="28.5">
      <c r="A129" s="6" t="s">
        <v>768</v>
      </c>
      <c r="B129" s="6" t="s">
        <v>750</v>
      </c>
      <c r="C129" s="6" t="s">
        <v>451</v>
      </c>
      <c r="D129" s="6"/>
      <c r="E129" s="5" t="s">
        <v>27</v>
      </c>
      <c r="F129" s="5" t="s">
        <v>769</v>
      </c>
      <c r="G129" s="6" t="s">
        <v>100</v>
      </c>
      <c r="H129" s="5" t="s">
        <v>770</v>
      </c>
      <c r="I129" s="5" t="s">
        <v>771</v>
      </c>
      <c r="J129" s="5" t="s">
        <v>772</v>
      </c>
      <c r="K129" s="5" t="s">
        <v>773</v>
      </c>
      <c r="L129" s="5"/>
      <c r="M129" s="6" t="s">
        <v>18</v>
      </c>
      <c r="N129" s="6" t="s">
        <v>6</v>
      </c>
      <c r="O129" s="6" t="s">
        <v>52</v>
      </c>
      <c r="P129" s="6" t="s">
        <v>53</v>
      </c>
      <c r="Q129" s="5"/>
    </row>
    <row r="130" spans="1:17" ht="28.5">
      <c r="A130" s="6" t="s">
        <v>774</v>
      </c>
      <c r="B130" s="6" t="s">
        <v>758</v>
      </c>
      <c r="C130" s="6" t="s">
        <v>775</v>
      </c>
      <c r="D130" s="6"/>
      <c r="E130" s="5" t="s">
        <v>27</v>
      </c>
      <c r="F130" s="5" t="s">
        <v>776</v>
      </c>
      <c r="G130" s="6" t="s">
        <v>100</v>
      </c>
      <c r="H130" s="5" t="s">
        <v>777</v>
      </c>
      <c r="I130" s="5" t="s">
        <v>778</v>
      </c>
      <c r="J130" s="5" t="s">
        <v>779</v>
      </c>
      <c r="K130" s="5" t="s">
        <v>780</v>
      </c>
      <c r="L130" s="5"/>
      <c r="M130" s="6" t="s">
        <v>18</v>
      </c>
      <c r="N130" s="6" t="s">
        <v>104</v>
      </c>
      <c r="O130" s="6" t="s">
        <v>52</v>
      </c>
      <c r="P130" s="6" t="s">
        <v>53</v>
      </c>
      <c r="Q130" s="5"/>
    </row>
  </sheetData>
  <conditionalFormatting sqref="N2:N130">
    <cfRule type="expression" dxfId="6" priority="1">
      <formula>$N2="High"</formula>
    </cfRule>
    <cfRule type="expression" dxfId="5" priority="2">
      <formula>$N2="Medium"</formula>
    </cfRule>
    <cfRule type="expression" dxfId="4" priority="3">
      <formula>$N2="Low"</formula>
    </cfRule>
  </conditionalFormatting>
  <conditionalFormatting sqref="M2:M130">
    <cfRule type="expression" dxfId="3" priority="4">
      <formula>$M2="Pass"</formula>
    </cfRule>
    <cfRule type="expression" dxfId="2" priority="5">
      <formula>$M2="Fail"</formula>
    </cfRule>
    <cfRule type="expression" dxfId="1" priority="6">
      <formula>$M2="Blocked"</formula>
    </cfRule>
    <cfRule type="expression" dxfId="0" priority="7">
      <formula>$M2="Not Run"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4.25"/>
  <cols>
    <col min="1" max="1" width="14" customWidth="1"/>
    <col min="2" max="2" width="22" customWidth="1"/>
    <col min="3" max="3" width="36" customWidth="1"/>
    <col min="4" max="4" width="34" customWidth="1"/>
    <col min="5" max="5" width="30" customWidth="1"/>
    <col min="6" max="6" width="32" customWidth="1"/>
  </cols>
  <sheetData>
    <row r="1" spans="1:6" ht="15">
      <c r="A1" s="7" t="s">
        <v>781</v>
      </c>
      <c r="B1" s="7" t="s">
        <v>782</v>
      </c>
      <c r="C1" s="7" t="s">
        <v>783</v>
      </c>
      <c r="D1" s="7" t="s">
        <v>784</v>
      </c>
      <c r="E1" s="7" t="s">
        <v>785</v>
      </c>
      <c r="F1" s="7" t="s">
        <v>3</v>
      </c>
    </row>
    <row r="2" spans="1:6" ht="28.5">
      <c r="A2" s="4" t="s">
        <v>786</v>
      </c>
      <c r="B2" s="4" t="s">
        <v>787</v>
      </c>
      <c r="C2" s="4" t="s">
        <v>118</v>
      </c>
      <c r="D2" s="4" t="s">
        <v>788</v>
      </c>
      <c r="E2" s="4" t="s">
        <v>789</v>
      </c>
      <c r="F2" s="4" t="s">
        <v>790</v>
      </c>
    </row>
    <row r="3" spans="1:6" ht="28.5">
      <c r="A3" s="4" t="s">
        <v>791</v>
      </c>
      <c r="B3" s="4" t="s">
        <v>792</v>
      </c>
      <c r="C3" s="4" t="s">
        <v>793</v>
      </c>
      <c r="D3" s="4" t="s">
        <v>794</v>
      </c>
      <c r="E3" s="4" t="s">
        <v>789</v>
      </c>
      <c r="F3" s="4" t="s">
        <v>790</v>
      </c>
    </row>
    <row r="4" spans="1:6" ht="28.5">
      <c r="A4" s="4" t="s">
        <v>795</v>
      </c>
      <c r="B4" s="4" t="s">
        <v>796</v>
      </c>
      <c r="C4" s="4" t="s">
        <v>797</v>
      </c>
      <c r="D4" s="4" t="s">
        <v>798</v>
      </c>
      <c r="E4" s="4" t="s">
        <v>17</v>
      </c>
      <c r="F4" s="4" t="s">
        <v>799</v>
      </c>
    </row>
    <row r="5" spans="1:6">
      <c r="A5" s="4" t="s">
        <v>800</v>
      </c>
      <c r="B5" s="4" t="s">
        <v>801</v>
      </c>
      <c r="C5" s="4" t="s">
        <v>802</v>
      </c>
      <c r="D5" s="4" t="s">
        <v>803</v>
      </c>
      <c r="E5" s="4" t="s">
        <v>17</v>
      </c>
      <c r="F5" s="4" t="s">
        <v>804</v>
      </c>
    </row>
    <row r="6" spans="1:6">
      <c r="A6" s="4" t="s">
        <v>805</v>
      </c>
      <c r="B6" s="4" t="s">
        <v>806</v>
      </c>
      <c r="C6" s="4" t="s">
        <v>807</v>
      </c>
      <c r="D6" s="4" t="s">
        <v>808</v>
      </c>
      <c r="E6" s="4" t="s">
        <v>809</v>
      </c>
      <c r="F6" s="4" t="s">
        <v>810</v>
      </c>
    </row>
    <row r="7" spans="1:6">
      <c r="A7" s="4" t="s">
        <v>811</v>
      </c>
      <c r="B7" s="4" t="s">
        <v>812</v>
      </c>
      <c r="C7" s="4" t="s">
        <v>813</v>
      </c>
      <c r="D7" s="4" t="s">
        <v>814</v>
      </c>
      <c r="E7" s="4" t="s">
        <v>815</v>
      </c>
      <c r="F7" s="4" t="s">
        <v>816</v>
      </c>
    </row>
    <row r="8" spans="1:6" ht="28.5">
      <c r="A8" s="4" t="s">
        <v>817</v>
      </c>
      <c r="B8" s="4" t="s">
        <v>818</v>
      </c>
      <c r="C8" s="4" t="s">
        <v>819</v>
      </c>
      <c r="D8" s="4" t="s">
        <v>820</v>
      </c>
      <c r="E8" s="4" t="s">
        <v>821</v>
      </c>
      <c r="F8" s="4" t="s">
        <v>822</v>
      </c>
    </row>
    <row r="9" spans="1:6" ht="28.5">
      <c r="A9" s="4" t="s">
        <v>823</v>
      </c>
      <c r="B9" s="4" t="s">
        <v>824</v>
      </c>
      <c r="C9" s="4" t="s">
        <v>825</v>
      </c>
      <c r="D9" s="4" t="s">
        <v>820</v>
      </c>
      <c r="E9" s="4" t="s">
        <v>821</v>
      </c>
      <c r="F9" s="4" t="s">
        <v>822</v>
      </c>
    </row>
    <row r="10" spans="1:6" ht="28.5">
      <c r="A10" s="4" t="s">
        <v>826</v>
      </c>
      <c r="B10" s="4" t="s">
        <v>827</v>
      </c>
      <c r="C10" s="4" t="s">
        <v>828</v>
      </c>
      <c r="D10" s="4" t="s">
        <v>829</v>
      </c>
      <c r="E10" s="4" t="s">
        <v>821</v>
      </c>
      <c r="F10" s="4" t="s">
        <v>830</v>
      </c>
    </row>
    <row r="11" spans="1:6">
      <c r="A11" s="4" t="s">
        <v>831</v>
      </c>
      <c r="B11" s="4" t="s">
        <v>832</v>
      </c>
      <c r="C11" s="4" t="s">
        <v>833</v>
      </c>
      <c r="D11" s="4" t="s">
        <v>834</v>
      </c>
      <c r="E11" s="4" t="s">
        <v>17</v>
      </c>
      <c r="F11" s="4" t="s">
        <v>835</v>
      </c>
    </row>
    <row r="12" spans="1:6">
      <c r="A12" s="4" t="s">
        <v>836</v>
      </c>
      <c r="B12" s="4" t="s">
        <v>837</v>
      </c>
      <c r="C12" s="4" t="s">
        <v>838</v>
      </c>
      <c r="D12" s="4" t="s">
        <v>834</v>
      </c>
      <c r="E12" s="4" t="s">
        <v>17</v>
      </c>
      <c r="F12" s="4" t="s">
        <v>835</v>
      </c>
    </row>
    <row r="13" spans="1:6">
      <c r="A13" s="4" t="s">
        <v>839</v>
      </c>
      <c r="B13" s="4" t="s">
        <v>840</v>
      </c>
      <c r="C13" s="4" t="s">
        <v>833</v>
      </c>
      <c r="D13" s="4" t="s">
        <v>841</v>
      </c>
      <c r="E13" s="4" t="s">
        <v>809</v>
      </c>
      <c r="F13" s="4" t="s">
        <v>842</v>
      </c>
    </row>
    <row r="14" spans="1:6" ht="28.5">
      <c r="A14" s="4" t="s">
        <v>843</v>
      </c>
      <c r="B14" s="4" t="s">
        <v>844</v>
      </c>
      <c r="C14" s="4" t="s">
        <v>838</v>
      </c>
      <c r="D14" s="4" t="s">
        <v>845</v>
      </c>
      <c r="E14" s="4" t="s">
        <v>846</v>
      </c>
      <c r="F14" s="4" t="s">
        <v>835</v>
      </c>
    </row>
    <row r="15" spans="1:6">
      <c r="A15" s="4" t="s">
        <v>847</v>
      </c>
      <c r="B15" s="4" t="s">
        <v>848</v>
      </c>
      <c r="C15" s="4" t="s">
        <v>849</v>
      </c>
      <c r="D15" s="4" t="s">
        <v>850</v>
      </c>
      <c r="E15" s="4" t="s">
        <v>24</v>
      </c>
      <c r="F15" s="4" t="s">
        <v>851</v>
      </c>
    </row>
    <row r="16" spans="1:6">
      <c r="A16" s="4" t="s">
        <v>852</v>
      </c>
      <c r="B16" s="4" t="s">
        <v>853</v>
      </c>
      <c r="C16" s="4" t="s">
        <v>854</v>
      </c>
      <c r="D16" s="4" t="s">
        <v>855</v>
      </c>
      <c r="E16" s="4" t="s">
        <v>26</v>
      </c>
      <c r="F16" s="4" t="s">
        <v>856</v>
      </c>
    </row>
    <row r="17" spans="1:6">
      <c r="A17" s="4" t="s">
        <v>857</v>
      </c>
      <c r="B17" s="4" t="s">
        <v>858</v>
      </c>
      <c r="C17" s="4" t="s">
        <v>859</v>
      </c>
      <c r="D17" s="4" t="s">
        <v>860</v>
      </c>
      <c r="E17" s="4" t="s">
        <v>26</v>
      </c>
      <c r="F17" s="4" t="s">
        <v>861</v>
      </c>
    </row>
    <row r="18" spans="1:6">
      <c r="A18" s="4" t="s">
        <v>862</v>
      </c>
      <c r="B18" s="4" t="s">
        <v>863</v>
      </c>
      <c r="C18" s="4" t="s">
        <v>864</v>
      </c>
      <c r="D18" s="4" t="s">
        <v>865</v>
      </c>
      <c r="E18" s="4" t="s">
        <v>10</v>
      </c>
      <c r="F18" s="4" t="s">
        <v>866</v>
      </c>
    </row>
    <row r="19" spans="1:6">
      <c r="A19" s="4" t="s">
        <v>867</v>
      </c>
      <c r="B19" s="4" t="s">
        <v>868</v>
      </c>
      <c r="C19" s="4" t="s">
        <v>869</v>
      </c>
      <c r="D19" s="4" t="s">
        <v>870</v>
      </c>
      <c r="E19" s="4" t="s">
        <v>871</v>
      </c>
      <c r="F19" s="4" t="s">
        <v>872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4.25"/>
  <cols>
    <col min="1" max="1" width="28" customWidth="1"/>
    <col min="2" max="2" width="46" customWidth="1"/>
    <col min="3" max="3" width="54" customWidth="1"/>
  </cols>
  <sheetData>
    <row r="1" spans="1:3" ht="15">
      <c r="A1" s="7" t="s">
        <v>873</v>
      </c>
      <c r="B1" s="7" t="s">
        <v>874</v>
      </c>
      <c r="C1" s="7" t="s">
        <v>875</v>
      </c>
    </row>
    <row r="2" spans="1:3" ht="28.5">
      <c r="A2" s="4" t="s">
        <v>57</v>
      </c>
      <c r="B2" s="4" t="s">
        <v>876</v>
      </c>
      <c r="C2" s="4" t="s">
        <v>877</v>
      </c>
    </row>
    <row r="3" spans="1:3" ht="28.5">
      <c r="A3" s="4" t="s">
        <v>179</v>
      </c>
      <c r="B3" s="4" t="s">
        <v>878</v>
      </c>
      <c r="C3" s="4" t="s">
        <v>879</v>
      </c>
    </row>
    <row r="4" spans="1:3" ht="28.5">
      <c r="A4" s="4" t="s">
        <v>301</v>
      </c>
      <c r="B4" s="4" t="s">
        <v>880</v>
      </c>
      <c r="C4" s="4" t="s">
        <v>881</v>
      </c>
    </row>
    <row r="5" spans="1:3" ht="28.5">
      <c r="A5" s="4" t="s">
        <v>115</v>
      </c>
      <c r="B5" s="4" t="s">
        <v>882</v>
      </c>
      <c r="C5" s="4" t="s">
        <v>883</v>
      </c>
    </row>
    <row r="6" spans="1:3">
      <c r="A6" s="4" t="s">
        <v>47</v>
      </c>
      <c r="B6" s="4" t="s">
        <v>884</v>
      </c>
      <c r="C6" s="4" t="s">
        <v>885</v>
      </c>
    </row>
    <row r="7" spans="1:3" ht="28.5">
      <c r="A7" s="4" t="s">
        <v>100</v>
      </c>
      <c r="B7" s="4" t="s">
        <v>886</v>
      </c>
      <c r="C7" s="4" t="s">
        <v>887</v>
      </c>
    </row>
    <row r="8" spans="1:3" ht="28.5">
      <c r="A8" s="4" t="s">
        <v>209</v>
      </c>
      <c r="B8" s="4" t="s">
        <v>888</v>
      </c>
      <c r="C8" s="4" t="s">
        <v>889</v>
      </c>
    </row>
    <row r="9" spans="1:3" ht="28.5">
      <c r="A9" s="4" t="s">
        <v>428</v>
      </c>
      <c r="B9" s="4" t="s">
        <v>890</v>
      </c>
      <c r="C9" s="4" t="s">
        <v>891</v>
      </c>
    </row>
    <row r="10" spans="1:3" ht="28.5">
      <c r="A10" s="4" t="s">
        <v>453</v>
      </c>
      <c r="B10" s="4" t="s">
        <v>892</v>
      </c>
      <c r="C10" s="4" t="s">
        <v>893</v>
      </c>
    </row>
    <row r="11" spans="1:3" ht="28.5">
      <c r="A11" s="4" t="s">
        <v>83</v>
      </c>
      <c r="B11" s="4" t="s">
        <v>894</v>
      </c>
      <c r="C11" s="4" t="s">
        <v>895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4.25"/>
  <cols>
    <col min="1" max="5" width="25" customWidth="1"/>
  </cols>
  <sheetData>
    <row r="1" spans="1:5" ht="15">
      <c r="A1" s="7" t="s">
        <v>4</v>
      </c>
      <c r="B1" s="7" t="s">
        <v>40</v>
      </c>
      <c r="C1" s="7" t="s">
        <v>39</v>
      </c>
      <c r="D1" s="7" t="s">
        <v>41</v>
      </c>
      <c r="E1" s="7" t="s">
        <v>873</v>
      </c>
    </row>
    <row r="2" spans="1:5">
      <c r="A2" t="s">
        <v>10</v>
      </c>
      <c r="B2" t="s">
        <v>6</v>
      </c>
      <c r="C2" t="s">
        <v>18</v>
      </c>
      <c r="D2" t="s">
        <v>61</v>
      </c>
      <c r="E2" t="s">
        <v>57</v>
      </c>
    </row>
    <row r="3" spans="1:5">
      <c r="A3" t="s">
        <v>13</v>
      </c>
      <c r="B3" t="s">
        <v>104</v>
      </c>
      <c r="C3" t="s">
        <v>21</v>
      </c>
      <c r="D3" t="s">
        <v>74</v>
      </c>
      <c r="E3" t="s">
        <v>179</v>
      </c>
    </row>
    <row r="4" spans="1:5">
      <c r="A4" t="s">
        <v>17</v>
      </c>
      <c r="B4" t="s">
        <v>174</v>
      </c>
      <c r="C4" t="s">
        <v>23</v>
      </c>
      <c r="D4" t="s">
        <v>120</v>
      </c>
      <c r="E4" t="s">
        <v>301</v>
      </c>
    </row>
    <row r="5" spans="1:5">
      <c r="A5" t="s">
        <v>22</v>
      </c>
      <c r="C5" t="s">
        <v>25</v>
      </c>
      <c r="D5" t="s">
        <v>87</v>
      </c>
      <c r="E5" t="s">
        <v>115</v>
      </c>
    </row>
    <row r="6" spans="1:5">
      <c r="A6" t="s">
        <v>24</v>
      </c>
      <c r="C6" t="s">
        <v>896</v>
      </c>
      <c r="D6" t="s">
        <v>402</v>
      </c>
      <c r="E6" t="s">
        <v>47</v>
      </c>
    </row>
    <row r="7" spans="1:5">
      <c r="A7" t="s">
        <v>26</v>
      </c>
      <c r="C7" t="s">
        <v>897</v>
      </c>
      <c r="D7" t="s">
        <v>184</v>
      </c>
      <c r="E7" t="s">
        <v>100</v>
      </c>
    </row>
    <row r="8" spans="1:5">
      <c r="A8" t="s">
        <v>15</v>
      </c>
      <c r="D8" t="s">
        <v>20</v>
      </c>
      <c r="E8" t="s">
        <v>209</v>
      </c>
    </row>
    <row r="9" spans="1:5">
      <c r="A9" t="s">
        <v>20</v>
      </c>
      <c r="D9" t="s">
        <v>110</v>
      </c>
      <c r="E9" t="s">
        <v>428</v>
      </c>
    </row>
    <row r="10" spans="1:5">
      <c r="A10" t="s">
        <v>27</v>
      </c>
      <c r="D10" t="s">
        <v>52</v>
      </c>
      <c r="E10" t="s">
        <v>453</v>
      </c>
    </row>
    <row r="11" spans="1:5">
      <c r="D11" t="s">
        <v>432</v>
      </c>
      <c r="E11" t="s">
        <v>83</v>
      </c>
    </row>
    <row r="12" spans="1:5">
      <c r="D12" t="s">
        <v>720</v>
      </c>
      <c r="E12" t="s">
        <v>137</v>
      </c>
    </row>
    <row r="13" spans="1:5">
      <c r="E13" t="s">
        <v>419</v>
      </c>
    </row>
    <row r="14" spans="1:5">
      <c r="E14" t="s">
        <v>336</v>
      </c>
    </row>
    <row r="15" spans="1:5">
      <c r="E1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Manual Test Cases</vt:lpstr>
      <vt:lpstr>Test Data</vt:lpstr>
      <vt:lpstr>Techniques</vt:lpstr>
      <vt:lpstr>Lists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Nguyễn</dc:creator>
  <cp:lastModifiedBy>Admin</cp:lastModifiedBy>
  <dcterms:created xsi:type="dcterms:W3CDTF">2026-06-23T10:03:15Z</dcterms:created>
  <dcterms:modified xsi:type="dcterms:W3CDTF">2026-06-23T10:03:15Z</dcterms:modified>
</cp:coreProperties>
</file>