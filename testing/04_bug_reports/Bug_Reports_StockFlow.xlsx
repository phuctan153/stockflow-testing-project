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ersonalProject\stockflow-testing-project\testing\04_bug_reports\"/>
    </mc:Choice>
  </mc:AlternateContent>
  <bookViews>
    <workbookView xWindow="0" yWindow="0" windowWidth="28800" windowHeight="12315"/>
  </bookViews>
  <sheets>
    <sheet name="Summary" sheetId="1" r:id="rId1"/>
    <sheet name="Sample Bug Reports" sheetId="2" r:id="rId2"/>
    <sheet name="Bug Report Template" sheetId="3" r:id="rId3"/>
    <sheet name="Lists" sheetId="4" r:id="rId4"/>
  </sheets>
  <calcPr calcId="152511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5" i="1"/>
  <c r="B14" i="1"/>
  <c r="B13" i="1"/>
  <c r="B12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<sst xmlns="http://schemas.openxmlformats.org/spreadsheetml/2006/main" count="359" uniqueCount="211">
  <si>
    <t>StockFlow Bug Report Summary</t>
  </si>
  <si>
    <t>Metric</t>
  </si>
  <si>
    <t>Formula / Value</t>
  </si>
  <si>
    <t>Total Bugs</t>
  </si>
  <si>
    <t>Critical Bugs</t>
  </si>
  <si>
    <t>High Severity Bugs</t>
  </si>
  <si>
    <t>Open Bugs</t>
  </si>
  <si>
    <t>Closed Bugs</t>
  </si>
  <si>
    <t>Pass Retest</t>
  </si>
  <si>
    <t>Severity</t>
  </si>
  <si>
    <t>Count</t>
  </si>
  <si>
    <t>Critical</t>
  </si>
  <si>
    <t>High</t>
  </si>
  <si>
    <t>Medium</t>
  </si>
  <si>
    <t>Low</t>
  </si>
  <si>
    <t>Status</t>
  </si>
  <si>
    <t>New</t>
  </si>
  <si>
    <t>Open</t>
  </si>
  <si>
    <t>In Progress</t>
  </si>
  <si>
    <t>Fixed</t>
  </si>
  <si>
    <t>Closed</t>
  </si>
  <si>
    <t>Reopened</t>
  </si>
  <si>
    <t>Bug ID</t>
  </si>
  <si>
    <t>Module</t>
  </si>
  <si>
    <t>Summary</t>
  </si>
  <si>
    <t>Description</t>
  </si>
  <si>
    <t>Steps to Reproduce</t>
  </si>
  <si>
    <t>Test Data</t>
  </si>
  <si>
    <t>Expected Result</t>
  </si>
  <si>
    <t>Actual Result</t>
  </si>
  <si>
    <t>Priority</t>
  </si>
  <si>
    <t>Environment</t>
  </si>
  <si>
    <t>Screenshot/Attachment</t>
  </si>
  <si>
    <t>Assigned To</t>
  </si>
  <si>
    <t>Reported Date</t>
  </si>
  <si>
    <t>Fixed Date</t>
  </si>
  <si>
    <t>Retest Result</t>
  </si>
  <si>
    <t>Related Test Case ID</t>
  </si>
  <si>
    <t>Notes</t>
  </si>
  <si>
    <t>BUG-001</t>
  </si>
  <si>
    <t>Stock-Out</t>
  </si>
  <si>
    <t>Stock-out quantity greater than current stock is accepted</t>
  </si>
  <si>
    <t>The system should reject stock-out quantity that exceeds current inventory, but the transaction is still submitted in some cases.</t>
  </si>
  <si>
    <t>1. Login as admin
2. Open Stock-Out page
3. Select product with quantity 3
4. Enter stock-out quantity 5
5. Click Submit</t>
  </si>
  <si>
    <t>Product: Mouse Logitech, Current quantity: 3, Stock-out quantity: 5</t>
  </si>
  <si>
    <t>System shows error message: Stock-out quantity cannot exceed current inventory quantity. Product quantity remains unchanged.</t>
  </si>
  <si>
    <t>Stock-out transaction is submitted and product quantity is reduced incorrectly.</t>
  </si>
  <si>
    <t>Windows 11, Chrome, FE localhost:3000, BE localhost:8080</t>
  </si>
  <si>
    <t>screenshot_bug_001.png</t>
  </si>
  <si>
    <t>Developer</t>
  </si>
  <si>
    <t>2026-06-23</t>
  </si>
  <si>
    <t>Pass</t>
  </si>
  <si>
    <t>TC-STOUT-007</t>
  </si>
  <si>
    <t>Important data integrity bug.</t>
  </si>
  <si>
    <t>BUG-002</t>
  </si>
  <si>
    <t>Product Management</t>
  </si>
  <si>
    <t>Staff can access product create page directly by URL</t>
  </si>
  <si>
    <t>Staff user should not access Admin-only product create route directly.</t>
  </si>
  <si>
    <t>1. Login as staff
2. Enter URL /products/create directly
3. Observe page behavior</t>
  </si>
  <si>
    <t>User: staff / 123456</t>
  </si>
  <si>
    <t>System redirects Staff to dashboard or shows access denied.</t>
  </si>
  <si>
    <t>Product create page is displayed to Staff.</t>
  </si>
  <si>
    <t>Windows 11, Chrome</t>
  </si>
  <si>
    <t>screenshot_bug_002.png</t>
  </si>
  <si>
    <t>TC-ROLE-007</t>
  </si>
  <si>
    <t>Role-based access issue.</t>
  </si>
  <si>
    <t>BUG-003</t>
  </si>
  <si>
    <t>Duplicate product name validation message is unclear</t>
  </si>
  <si>
    <t>When Admin creates a product with an existing name, the error message does not clearly explain the issue.</t>
  </si>
  <si>
    <t>1. Login as admin
2. Create product named Laptop Dell Inspiron
3. Create another product with the same name
4. Click Submit</t>
  </si>
  <si>
    <t>Product name: Laptop Dell Inspiron</t>
  </si>
  <si>
    <t>System displays clear message: Product name already exists.</t>
  </si>
  <si>
    <t>System displays generic system error.</t>
  </si>
  <si>
    <t>screenshot_bug_003.png</t>
  </si>
  <si>
    <t>Not Retested</t>
  </si>
  <si>
    <t>TC-PROD-006</t>
  </si>
  <si>
    <t>Validation message should be user-friendly.</t>
  </si>
  <si>
    <t>BUG-004</t>
  </si>
  <si>
    <t>Delete confirmation modal is not displayed before deleting product</t>
  </si>
  <si>
    <t>The system should ask for confirmation before deleting a product.</t>
  </si>
  <si>
    <t>1. Login as admin
2. Open Product List
3. Click Delete button on a deletable product</t>
  </si>
  <si>
    <t>Product quantity: 0, no transaction history</t>
  </si>
  <si>
    <t>Confirmation modal is displayed before delete action.</t>
  </si>
  <si>
    <t>Product is deleted immediately without confirmation.</t>
  </si>
  <si>
    <t>screenshot_bug_004.png</t>
  </si>
  <si>
    <t>TC-UI-005</t>
  </si>
  <si>
    <t>UI safety issue.</t>
  </si>
  <si>
    <t>BUG-005</t>
  </si>
  <si>
    <t>Stock-In</t>
  </si>
  <si>
    <t>Stock-in allows quantity 0</t>
  </si>
  <si>
    <t>Stock-in quantity must be greater than 0, but the form allows quantity 0 to be submitted.</t>
  </si>
  <si>
    <t>1. Login as admin
2. Open Stock-In page
3. Select an active product
4. Enter quantity 0
5. Submit</t>
  </si>
  <si>
    <t>Quantity: 0</t>
  </si>
  <si>
    <t>System rejects the request and shows quantity must be greater than 0.</t>
  </si>
  <si>
    <t>System submits the stock-in transaction.</t>
  </si>
  <si>
    <t>screenshot_bug_005.png</t>
  </si>
  <si>
    <t>TC-STIN-006</t>
  </si>
  <si>
    <t>Boundary validation bug.</t>
  </si>
  <si>
    <t>BUG-006</t>
  </si>
  <si>
    <t>Stock-out page auto-clamps quantity instead of showing validation error</t>
  </si>
  <si>
    <t>When user enters stock-out quantity greater than current stock, the input is automatically changed to max stock instead of displaying validation error.</t>
  </si>
  <si>
    <t>1. Login as admin
2. Open Stock-Out page
3. Select product with quantity 3
4. Enter quantity 5
5. Observe input value</t>
  </si>
  <si>
    <t>Current quantity: 3, Entered quantity: 5</t>
  </si>
  <si>
    <t>System keeps entered value and shows validation error.</t>
  </si>
  <si>
    <t>Input is automatically changed from 5 to 3.</t>
  </si>
  <si>
    <t>screenshot_bug_006.png</t>
  </si>
  <si>
    <t>Previously discussed frontend issue.</t>
  </si>
  <si>
    <t>BUG-007</t>
  </si>
  <si>
    <t>Transaction History</t>
  </si>
  <si>
    <t>Sidebar highlights Stock-Out menu when viewing Stock-In History</t>
  </si>
  <si>
    <t>The active sidebar menu is incorrect when user opens Stock-In History.</t>
  </si>
  <si>
    <t>1. Login as admin
2. Click Stock-In History
3. Observe sidebar active menu</t>
  </si>
  <si>
    <t>Route: /stock-in/history</t>
  </si>
  <si>
    <t>Stock-In History menu is highlighted.</t>
  </si>
  <si>
    <t>Stock-Out menu is highlighted.</t>
  </si>
  <si>
    <t>screenshot_bug_007.png</t>
  </si>
  <si>
    <t>TC-UI-002</t>
  </si>
  <si>
    <t>Navigation UI bug.</t>
  </si>
  <si>
    <t>BUG-008</t>
  </si>
  <si>
    <t>Inventory Report</t>
  </si>
  <si>
    <t>LOW_STOCK status is not displayed correctly for quantity 10</t>
  </si>
  <si>
    <t>Quantity 10 should be classified as LOW_STOCK, but report displays IN_STOCK.</t>
  </si>
  <si>
    <t>1. Login as admin
2. Create product with quantity 10
3. Open Inventory Report
4. Check stock status</t>
  </si>
  <si>
    <t>Quantity: 10</t>
  </si>
  <si>
    <t>Stock status is LOW_STOCK.</t>
  </si>
  <si>
    <t>Stock status is IN_STOCK.</t>
  </si>
  <si>
    <t>screenshot_bug_008.png</t>
  </si>
  <si>
    <t>TC-REP-004</t>
  </si>
  <si>
    <t>Boundary value bug.</t>
  </si>
  <si>
    <t>BUG-009</t>
  </si>
  <si>
    <t>Authentication</t>
  </si>
  <si>
    <t>Protected page can be accessed after logout using browser back button</t>
  </si>
  <si>
    <t>After logout, user should not be able to view protected data using browser back button.</t>
  </si>
  <si>
    <t>1. Login as admin
2. Open Dashboard
3. Logout
4. Click browser Back button</t>
  </si>
  <si>
    <t>User: admin / 123456</t>
  </si>
  <si>
    <t>User stays on login page or protected page redirects to login.</t>
  </si>
  <si>
    <t>Dashboard content is displayed again.</t>
  </si>
  <si>
    <t>screenshot_bug_009.png</t>
  </si>
  <si>
    <t>TC-AUTH-008</t>
  </si>
  <si>
    <t>Authentication/session handling issue.</t>
  </si>
  <si>
    <t>BUG-010</t>
  </si>
  <si>
    <t>Dashboard</t>
  </si>
  <si>
    <t>Dashboard total stock quantity does not update after stock-in</t>
  </si>
  <si>
    <t>Dashboard should reflect updated stock quantity after stock-in transaction.</t>
  </si>
  <si>
    <t>1. Login as admin
2. Note dashboard total stock quantity
3. Create stock-in transaction quantity 5
4. Return to dashboard
5. Click Refresh</t>
  </si>
  <si>
    <t>Stock-in quantity: 5</t>
  </si>
  <si>
    <t>Total stock quantity increases by 5.</t>
  </si>
  <si>
    <t>Total stock quantity remains unchanged.</t>
  </si>
  <si>
    <t>screenshot_bug_010.png</t>
  </si>
  <si>
    <t>TC-DASH-004</t>
  </si>
  <si>
    <t>Data sync issue.</t>
  </si>
  <si>
    <t>BUG-011</t>
  </si>
  <si>
    <t>Product price accepts negative value through API</t>
  </si>
  <si>
    <t>Frontend validation blocks negative price, but API still accepts negative value.</t>
  </si>
  <si>
    <t>1. Login as admin
2. Send POST /api/products using Postman
3. Set price = -1000
4. Observe response</t>
  </si>
  <si>
    <t>price: -1000</t>
  </si>
  <si>
    <t>API rejects request with validation error.</t>
  </si>
  <si>
    <t>API creates product successfully.</t>
  </si>
  <si>
    <t>Postman, BE localhost:8080</t>
  </si>
  <si>
    <t>postman_bug_011.png</t>
  </si>
  <si>
    <t>TC-PROD-008</t>
  </si>
  <si>
    <t>Backend validation issue.</t>
  </si>
  <si>
    <t>BUG-012</t>
  </si>
  <si>
    <t>Database</t>
  </si>
  <si>
    <t>Stock-out failed transaction still creates transaction record</t>
  </si>
  <si>
    <t>When stock-out request fails due to insufficient inventory, no transaction record should be inserted.</t>
  </si>
  <si>
    <t>1. Prepare product with quantity 3
2. Submit stock-out quantity 5 via API
3. Check stock_out_transactions table</t>
  </si>
  <si>
    <t>Product quantity: 3, Stock-out quantity: 5</t>
  </si>
  <si>
    <t>Request is rejected and no stock-out transaction is created.</t>
  </si>
  <si>
    <t>Request is rejected but a stock-out transaction record is still inserted.</t>
  </si>
  <si>
    <t>MySQL, Postman</t>
  </si>
  <si>
    <t>db_bug_012.png</t>
  </si>
  <si>
    <t>Database integrity bug.</t>
  </si>
  <si>
    <t>Field</t>
  </si>
  <si>
    <t>Example</t>
  </si>
  <si>
    <t>Unique bug identifier</t>
  </si>
  <si>
    <t>Feature/module where bug occurs</t>
  </si>
  <si>
    <t>Short bug title</t>
  </si>
  <si>
    <t>Detailed description of the problem</t>
  </si>
  <si>
    <t>The system allows stock-out transaction with invalid quantity.</t>
  </si>
  <si>
    <t>Clear steps to reproduce the bug</t>
  </si>
  <si>
    <t>1. Login
2. Open Stock-Out
3. Enter invalid quantity</t>
  </si>
  <si>
    <t>Data used during testing</t>
  </si>
  <si>
    <t>Expected behavior based on requirement</t>
  </si>
  <si>
    <t>System rejects the transaction.</t>
  </si>
  <si>
    <t>Actual behavior observed</t>
  </si>
  <si>
    <t>Transaction is submitted.</t>
  </si>
  <si>
    <t>Impact level</t>
  </si>
  <si>
    <t>Critical / High / Medium / Low</t>
  </si>
  <si>
    <t>Fix urgency</t>
  </si>
  <si>
    <t>High / Medium / Low</t>
  </si>
  <si>
    <t>Bug lifecycle status</t>
  </si>
  <si>
    <t>New / Open / In Progress / Fixed / Closed / Reopened</t>
  </si>
  <si>
    <t>Testing environment</t>
  </si>
  <si>
    <t>Windows 11, Chrome, localhost</t>
  </si>
  <si>
    <t>Evidence file name or link</t>
  </si>
  <si>
    <t>Person responsible for fix</t>
  </si>
  <si>
    <t>Date when bug is reported</t>
  </si>
  <si>
    <t>Date when bug is fixed</t>
  </si>
  <si>
    <t>2026-06-24</t>
  </si>
  <si>
    <t>Retest status after fix</t>
  </si>
  <si>
    <t>Pass / Fail / Not Retested</t>
  </si>
  <si>
    <t>Related manual/API/DB test case</t>
  </si>
  <si>
    <t>Additional notes</t>
  </si>
  <si>
    <t>Important business rule bug</t>
  </si>
  <si>
    <t>Fail</t>
  </si>
  <si>
    <t>Blocked</t>
  </si>
  <si>
    <t>Rejected</t>
  </si>
  <si>
    <t>Role-Based Access</t>
  </si>
  <si>
    <t>API Testing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</si>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</sst>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horizontal="left" vertical="top" wrapText="1"/>
    </xf>
    <xf numFmtId="164" fontId="0" fillId="0" borderId="0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left" textRotation="0" wrapText="1" indent="0" justifyLastLine="0" shrinkToFit="0" readingOrder="0"/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BugMetricTable" displayName="BugMetricTable" ref="A3:B8">
  <tableColumns count="2">
    <tableColumn id="1" name="Metric"/>
    <tableColumn id="2" name="Formula /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BugSeverityTable" displayName="BugSeverityTable" ref="A11:B15">
  <tableColumns count="2">
    <tableColumn id="1" name="Severity"/>
    <tableColumn id="2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BugStatusTable" displayName="BugStatusTable" ref="A17:B23">
  <tableColumns count="2">
    <tableColumn id="1" name="Status"/>
    <tableColumn id="2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BugReportsTable" displayName="BugReportsTable" ref="A1:S13" headerRowDxfId="30" dataDxfId="10" totalsRowDxfId="31">
  <tableColumns count="19">
    <tableColumn id="1" name="Bug ID" dataDxfId="29"/>
    <tableColumn id="2" name="Module" dataDxfId="28"/>
    <tableColumn id="3" name="Summary" dataDxfId="27"/>
    <tableColumn id="4" name="Description" dataDxfId="26"/>
    <tableColumn id="5" name="Steps to Reproduce" dataDxfId="25"/>
    <tableColumn id="6" name="Test Data" dataDxfId="24"/>
    <tableColumn id="7" name="Expected Result" dataDxfId="23"/>
    <tableColumn id="8" name="Actual Result" dataDxfId="22"/>
    <tableColumn id="9" name="Severity" dataDxfId="21"/>
    <tableColumn id="10" name="Priority" dataDxfId="20"/>
    <tableColumn id="11" name="Status" dataDxfId="19"/>
    <tableColumn id="12" name="Environment" dataDxfId="18"/>
    <tableColumn id="13" name="Screenshot/Attachment" dataDxfId="17"/>
    <tableColumn id="14" name="Assigned To" dataDxfId="16"/>
    <tableColumn id="15" name="Reported Date" dataDxfId="15"/>
    <tableColumn id="16" name="Fixed Date" dataDxfId="14"/>
    <tableColumn id="17" name="Retest Result" dataDxfId="13"/>
    <tableColumn id="18" name="Related Test Case ID" dataDxfId="12"/>
    <tableColumn id="19" name="Notes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BugReportTemplateTable" displayName="BugReportTemplateTable" ref="A1:C20" dataDxfId="6">
  <tableColumns count="3">
    <tableColumn id="1" name="Field" dataDxfId="9"/>
    <tableColumn id="2" name="Description" dataDxfId="8"/>
    <tableColumn id="3" name="Example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gListsTable" displayName="BugListsTable" ref="A1:E12" dataDxfId="0">
  <tableColumns count="5">
    <tableColumn id="1" name="Severity" dataDxfId="5"/>
    <tableColumn id="2" name="Priority" dataDxfId="4"/>
    <tableColumn id="3" name="Status" dataDxfId="3"/>
    <tableColumn id="4" name="Module" dataDxfId="2"/>
    <tableColumn id="5" name="Retest Resul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G24" sqref="G24"/>
    </sheetView>
  </sheetViews>
  <sheetFormatPr defaultRowHeight="14.25"/>
  <cols>
    <col min="1" max="2" width="28" customWidth="1"/>
  </cols>
  <sheetData>
    <row r="1" spans="1:2" ht="20.25">
      <c r="A1" s="5" t="s">
        <v>0</v>
      </c>
      <c r="B1" s="6"/>
    </row>
    <row r="3" spans="1:2" ht="15">
      <c r="A3" s="1" t="s">
        <v>1</v>
      </c>
      <c r="B3" s="1" t="s">
        <v>2</v>
      </c>
    </row>
    <row r="4" spans="1:2">
      <c r="A4" t="s">
        <v>3</v>
      </c>
      <c r="B4">
        <f>COUNTA('Sample Bug Reports'!A2:A200)</f>
        <v>12</v>
      </c>
    </row>
    <row r="5" spans="1:2">
      <c r="A5" t="s">
        <v>4</v>
      </c>
      <c r="B5">
        <f>COUNTIF('Sample Bug Reports'!I2:I200,"Critical")</f>
        <v>2</v>
      </c>
    </row>
    <row r="6" spans="1:2">
      <c r="A6" t="s">
        <v>5</v>
      </c>
      <c r="B6">
        <f>COUNTIF('Sample Bug Reports'!I2:I200,"High")</f>
        <v>6</v>
      </c>
    </row>
    <row r="7" spans="1:2">
      <c r="A7" t="s">
        <v>6</v>
      </c>
      <c r="B7">
        <f>COUNTIF('Sample Bug Reports'!K2:K200,"Open")</f>
        <v>5</v>
      </c>
    </row>
    <row r="8" spans="1:2">
      <c r="A8" t="s">
        <v>7</v>
      </c>
      <c r="B8">
        <f>COUNTIF('Sample Bug Reports'!K2:K200,"Closed")</f>
        <v>7</v>
      </c>
    </row>
    <row r="9" spans="1:2">
      <c r="A9" t="s">
        <v>8</v>
      </c>
      <c r="B9">
        <f>COUNTIF('Sample Bug Reports'!Q2:Q200,"Pass")</f>
        <v>7</v>
      </c>
    </row>
    <row r="11" spans="1:2" ht="15">
      <c r="A11" s="1" t="s">
        <v>9</v>
      </c>
      <c r="B11" s="1" t="s">
        <v>10</v>
      </c>
    </row>
    <row r="12" spans="1:2">
      <c r="A12" t="s">
        <v>11</v>
      </c>
      <c r="B12">
        <f>COUNTIF('Sample Bug Reports'!I2:I200,"Critical")</f>
        <v>2</v>
      </c>
    </row>
    <row r="13" spans="1:2">
      <c r="A13" t="s">
        <v>12</v>
      </c>
      <c r="B13">
        <f>COUNTIF('Sample Bug Reports'!I2:I200,"High")</f>
        <v>6</v>
      </c>
    </row>
    <row r="14" spans="1:2">
      <c r="A14" t="s">
        <v>13</v>
      </c>
      <c r="B14">
        <f>COUNTIF('Sample Bug Reports'!I2:I200,"Medium")</f>
        <v>3</v>
      </c>
    </row>
    <row r="15" spans="1:2">
      <c r="A15" t="s">
        <v>14</v>
      </c>
      <c r="B15">
        <f>COUNTIF('Sample Bug Reports'!I2:I200,"Low")</f>
        <v>1</v>
      </c>
    </row>
    <row r="17" spans="1:2" ht="15">
      <c r="A17" s="1" t="s">
        <v>15</v>
      </c>
      <c r="B17" s="1" t="s">
        <v>10</v>
      </c>
    </row>
    <row r="18" spans="1:2">
      <c r="A18" t="s">
        <v>16</v>
      </c>
      <c r="B18">
        <f>COUNTIF('Sample Bug Reports'!K2:K200,"New")</f>
        <v>0</v>
      </c>
    </row>
    <row r="19" spans="1:2">
      <c r="A19" t="s">
        <v>17</v>
      </c>
      <c r="B19">
        <f>COUNTIF('Sample Bug Reports'!K2:K200,"Open")</f>
        <v>5</v>
      </c>
    </row>
    <row r="20" spans="1:2">
      <c r="A20" t="s">
        <v>18</v>
      </c>
      <c r="B20">
        <f>COUNTIF('Sample Bug Reports'!K2:K200,"In Progress")</f>
        <v>0</v>
      </c>
    </row>
    <row r="21" spans="1:2">
      <c r="A21" t="s">
        <v>19</v>
      </c>
      <c r="B21">
        <f>COUNTIF('Sample Bug Reports'!K2:K200,"Fixed")</f>
        <v>0</v>
      </c>
    </row>
    <row r="22" spans="1:2">
      <c r="A22" t="s">
        <v>20</v>
      </c>
      <c r="B22">
        <f>COUNTIF('Sample Bug Reports'!K2:K200,"Closed")</f>
        <v>7</v>
      </c>
    </row>
    <row r="23" spans="1:2">
      <c r="A23" t="s">
        <v>21</v>
      </c>
      <c r="B23">
        <f>COUNTIF('Sample Bug Reports'!K2:K200,"Reopened")</f>
        <v>0</v>
      </c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workbookViewId="0">
      <selection activeCell="C5" sqref="C5"/>
    </sheetView>
  </sheetViews>
  <sheetFormatPr defaultRowHeight="14.25"/>
  <cols>
    <col min="1" max="1" width="8.375" customWidth="1"/>
    <col min="2" max="2" width="18.5" customWidth="1"/>
    <col min="3" max="3" width="41.625" customWidth="1"/>
    <col min="4" max="4" width="45" customWidth="1"/>
    <col min="5" max="5" width="39.5" customWidth="1"/>
    <col min="6" max="6" width="31" customWidth="1"/>
    <col min="7" max="7" width="44.625" customWidth="1"/>
    <col min="8" max="8" width="44" customWidth="1"/>
    <col min="9" max="9" width="8.25" customWidth="1"/>
    <col min="10" max="10" width="7.25" customWidth="1"/>
    <col min="11" max="11" width="6.625" customWidth="1"/>
    <col min="12" max="12" width="28.875" customWidth="1"/>
    <col min="13" max="13" width="21.875" customWidth="1"/>
    <col min="14" max="14" width="11.875" customWidth="1"/>
    <col min="15" max="15" width="14" customWidth="1"/>
    <col min="16" max="16" width="10.375" customWidth="1"/>
    <col min="17" max="17" width="13.125" customWidth="1"/>
    <col min="18" max="18" width="17.5" customWidth="1"/>
    <col min="19" max="19" width="31.25" customWidth="1"/>
  </cols>
  <sheetData>
    <row r="1" spans="1:19" s="7" customFormat="1" ht="30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9</v>
      </c>
      <c r="J1" s="2" t="s">
        <v>30</v>
      </c>
      <c r="K1" s="2" t="s">
        <v>15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spans="1:19" ht="71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11</v>
      </c>
      <c r="J2" s="8" t="s">
        <v>12</v>
      </c>
      <c r="K2" s="8" t="s">
        <v>20</v>
      </c>
      <c r="L2" s="8" t="s">
        <v>47</v>
      </c>
      <c r="M2" s="8" t="s">
        <v>48</v>
      </c>
      <c r="N2" s="8" t="s">
        <v>49</v>
      </c>
      <c r="O2" s="9" t="s">
        <v>50</v>
      </c>
      <c r="P2" s="9" t="s">
        <v>50</v>
      </c>
      <c r="Q2" s="8" t="s">
        <v>51</v>
      </c>
      <c r="R2" s="8" t="s">
        <v>52</v>
      </c>
      <c r="S2" s="8" t="s">
        <v>53</v>
      </c>
    </row>
    <row r="3" spans="1:19" ht="42.75">
      <c r="A3" s="8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59</v>
      </c>
      <c r="G3" s="8" t="s">
        <v>60</v>
      </c>
      <c r="H3" s="8" t="s">
        <v>61</v>
      </c>
      <c r="I3" s="8" t="s">
        <v>12</v>
      </c>
      <c r="J3" s="8" t="s">
        <v>12</v>
      </c>
      <c r="K3" s="8" t="s">
        <v>20</v>
      </c>
      <c r="L3" s="8" t="s">
        <v>62</v>
      </c>
      <c r="M3" s="8" t="s">
        <v>63</v>
      </c>
      <c r="N3" s="8" t="s">
        <v>49</v>
      </c>
      <c r="O3" s="9" t="s">
        <v>50</v>
      </c>
      <c r="P3" s="9" t="s">
        <v>50</v>
      </c>
      <c r="Q3" s="8" t="s">
        <v>51</v>
      </c>
      <c r="R3" s="8" t="s">
        <v>64</v>
      </c>
      <c r="S3" s="8" t="s">
        <v>65</v>
      </c>
    </row>
    <row r="4" spans="1:19" ht="57">
      <c r="A4" s="8" t="s">
        <v>66</v>
      </c>
      <c r="B4" s="8" t="s">
        <v>55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  <c r="I4" s="8" t="s">
        <v>13</v>
      </c>
      <c r="J4" s="8" t="s">
        <v>13</v>
      </c>
      <c r="K4" s="8" t="s">
        <v>17</v>
      </c>
      <c r="L4" s="8" t="s">
        <v>62</v>
      </c>
      <c r="M4" s="8" t="s">
        <v>73</v>
      </c>
      <c r="N4" s="8" t="s">
        <v>49</v>
      </c>
      <c r="O4" s="9" t="s">
        <v>50</v>
      </c>
      <c r="P4" s="9"/>
      <c r="Q4" s="8" t="s">
        <v>74</v>
      </c>
      <c r="R4" s="8" t="s">
        <v>75</v>
      </c>
      <c r="S4" s="8" t="s">
        <v>76</v>
      </c>
    </row>
    <row r="5" spans="1:19" ht="42.75">
      <c r="A5" s="8" t="s">
        <v>77</v>
      </c>
      <c r="B5" s="8" t="s">
        <v>55</v>
      </c>
      <c r="C5" s="8" t="s">
        <v>78</v>
      </c>
      <c r="D5" s="8" t="s">
        <v>79</v>
      </c>
      <c r="E5" s="8" t="s">
        <v>80</v>
      </c>
      <c r="F5" s="8" t="s">
        <v>81</v>
      </c>
      <c r="G5" s="8" t="s">
        <v>82</v>
      </c>
      <c r="H5" s="8" t="s">
        <v>83</v>
      </c>
      <c r="I5" s="8" t="s">
        <v>13</v>
      </c>
      <c r="J5" s="8" t="s">
        <v>13</v>
      </c>
      <c r="K5" s="8" t="s">
        <v>20</v>
      </c>
      <c r="L5" s="8" t="s">
        <v>62</v>
      </c>
      <c r="M5" s="8" t="s">
        <v>84</v>
      </c>
      <c r="N5" s="8" t="s">
        <v>49</v>
      </c>
      <c r="O5" s="9" t="s">
        <v>50</v>
      </c>
      <c r="P5" s="9" t="s">
        <v>50</v>
      </c>
      <c r="Q5" s="8" t="s">
        <v>51</v>
      </c>
      <c r="R5" s="8" t="s">
        <v>85</v>
      </c>
      <c r="S5" s="8" t="s">
        <v>86</v>
      </c>
    </row>
    <row r="6" spans="1:19" ht="71.25">
      <c r="A6" s="8" t="s">
        <v>87</v>
      </c>
      <c r="B6" s="8" t="s">
        <v>88</v>
      </c>
      <c r="C6" s="8" t="s">
        <v>89</v>
      </c>
      <c r="D6" s="8" t="s">
        <v>90</v>
      </c>
      <c r="E6" s="8" t="s">
        <v>91</v>
      </c>
      <c r="F6" s="8" t="s">
        <v>92</v>
      </c>
      <c r="G6" s="8" t="s">
        <v>93</v>
      </c>
      <c r="H6" s="8" t="s">
        <v>94</v>
      </c>
      <c r="I6" s="8" t="s">
        <v>12</v>
      </c>
      <c r="J6" s="8" t="s">
        <v>12</v>
      </c>
      <c r="K6" s="8" t="s">
        <v>20</v>
      </c>
      <c r="L6" s="8" t="s">
        <v>62</v>
      </c>
      <c r="M6" s="8" t="s">
        <v>95</v>
      </c>
      <c r="N6" s="8" t="s">
        <v>49</v>
      </c>
      <c r="O6" s="9" t="s">
        <v>50</v>
      </c>
      <c r="P6" s="9" t="s">
        <v>50</v>
      </c>
      <c r="Q6" s="8" t="s">
        <v>51</v>
      </c>
      <c r="R6" s="8" t="s">
        <v>96</v>
      </c>
      <c r="S6" s="8" t="s">
        <v>97</v>
      </c>
    </row>
    <row r="7" spans="1:19" ht="71.25">
      <c r="A7" s="8" t="s">
        <v>98</v>
      </c>
      <c r="B7" s="8" t="s">
        <v>40</v>
      </c>
      <c r="C7" s="8" t="s">
        <v>99</v>
      </c>
      <c r="D7" s="8" t="s">
        <v>100</v>
      </c>
      <c r="E7" s="8" t="s">
        <v>101</v>
      </c>
      <c r="F7" s="8" t="s">
        <v>102</v>
      </c>
      <c r="G7" s="8" t="s">
        <v>103</v>
      </c>
      <c r="H7" s="8" t="s">
        <v>104</v>
      </c>
      <c r="I7" s="8" t="s">
        <v>13</v>
      </c>
      <c r="J7" s="8" t="s">
        <v>13</v>
      </c>
      <c r="K7" s="8" t="s">
        <v>20</v>
      </c>
      <c r="L7" s="8" t="s">
        <v>62</v>
      </c>
      <c r="M7" s="8" t="s">
        <v>105</v>
      </c>
      <c r="N7" s="8" t="s">
        <v>49</v>
      </c>
      <c r="O7" s="9" t="s">
        <v>50</v>
      </c>
      <c r="P7" s="9" t="s">
        <v>50</v>
      </c>
      <c r="Q7" s="8" t="s">
        <v>51</v>
      </c>
      <c r="R7" s="8" t="s">
        <v>52</v>
      </c>
      <c r="S7" s="8" t="s">
        <v>106</v>
      </c>
    </row>
    <row r="8" spans="1:19" ht="42.75">
      <c r="A8" s="8" t="s">
        <v>107</v>
      </c>
      <c r="B8" s="8" t="s">
        <v>108</v>
      </c>
      <c r="C8" s="8" t="s">
        <v>109</v>
      </c>
      <c r="D8" s="8" t="s">
        <v>110</v>
      </c>
      <c r="E8" s="8" t="s">
        <v>111</v>
      </c>
      <c r="F8" s="8" t="s">
        <v>112</v>
      </c>
      <c r="G8" s="8" t="s">
        <v>113</v>
      </c>
      <c r="H8" s="8" t="s">
        <v>114</v>
      </c>
      <c r="I8" s="8" t="s">
        <v>14</v>
      </c>
      <c r="J8" s="8" t="s">
        <v>13</v>
      </c>
      <c r="K8" s="8" t="s">
        <v>20</v>
      </c>
      <c r="L8" s="8" t="s">
        <v>62</v>
      </c>
      <c r="M8" s="8" t="s">
        <v>115</v>
      </c>
      <c r="N8" s="8" t="s">
        <v>49</v>
      </c>
      <c r="O8" s="9" t="s">
        <v>50</v>
      </c>
      <c r="P8" s="9" t="s">
        <v>50</v>
      </c>
      <c r="Q8" s="8" t="s">
        <v>51</v>
      </c>
      <c r="R8" s="8" t="s">
        <v>116</v>
      </c>
      <c r="S8" s="8" t="s">
        <v>117</v>
      </c>
    </row>
    <row r="9" spans="1:19" ht="57">
      <c r="A9" s="8" t="s">
        <v>118</v>
      </c>
      <c r="B9" s="8" t="s">
        <v>119</v>
      </c>
      <c r="C9" s="8" t="s">
        <v>120</v>
      </c>
      <c r="D9" s="8" t="s">
        <v>121</v>
      </c>
      <c r="E9" s="8" t="s">
        <v>122</v>
      </c>
      <c r="F9" s="8" t="s">
        <v>123</v>
      </c>
      <c r="G9" s="8" t="s">
        <v>124</v>
      </c>
      <c r="H9" s="8" t="s">
        <v>125</v>
      </c>
      <c r="I9" s="8" t="s">
        <v>12</v>
      </c>
      <c r="J9" s="8" t="s">
        <v>12</v>
      </c>
      <c r="K9" s="8" t="s">
        <v>17</v>
      </c>
      <c r="L9" s="8" t="s">
        <v>62</v>
      </c>
      <c r="M9" s="8" t="s">
        <v>126</v>
      </c>
      <c r="N9" s="8" t="s">
        <v>49</v>
      </c>
      <c r="O9" s="9" t="s">
        <v>50</v>
      </c>
      <c r="P9" s="9"/>
      <c r="Q9" s="8" t="s">
        <v>74</v>
      </c>
      <c r="R9" s="8" t="s">
        <v>127</v>
      </c>
      <c r="S9" s="8" t="s">
        <v>128</v>
      </c>
    </row>
    <row r="10" spans="1:19" ht="57">
      <c r="A10" s="8" t="s">
        <v>129</v>
      </c>
      <c r="B10" s="8" t="s">
        <v>130</v>
      </c>
      <c r="C10" s="8" t="s">
        <v>131</v>
      </c>
      <c r="D10" s="8" t="s">
        <v>132</v>
      </c>
      <c r="E10" s="8" t="s">
        <v>133</v>
      </c>
      <c r="F10" s="8" t="s">
        <v>134</v>
      </c>
      <c r="G10" s="8" t="s">
        <v>135</v>
      </c>
      <c r="H10" s="8" t="s">
        <v>136</v>
      </c>
      <c r="I10" s="8" t="s">
        <v>12</v>
      </c>
      <c r="J10" s="8" t="s">
        <v>12</v>
      </c>
      <c r="K10" s="8" t="s">
        <v>17</v>
      </c>
      <c r="L10" s="8" t="s">
        <v>62</v>
      </c>
      <c r="M10" s="8" t="s">
        <v>137</v>
      </c>
      <c r="N10" s="8" t="s">
        <v>49</v>
      </c>
      <c r="O10" s="9" t="s">
        <v>50</v>
      </c>
      <c r="P10" s="9"/>
      <c r="Q10" s="8" t="s">
        <v>74</v>
      </c>
      <c r="R10" s="8" t="s">
        <v>138</v>
      </c>
      <c r="S10" s="8" t="s">
        <v>139</v>
      </c>
    </row>
    <row r="11" spans="1:19" ht="71.25">
      <c r="A11" s="8" t="s">
        <v>140</v>
      </c>
      <c r="B11" s="8" t="s">
        <v>141</v>
      </c>
      <c r="C11" s="8" t="s">
        <v>142</v>
      </c>
      <c r="D11" s="8" t="s">
        <v>143</v>
      </c>
      <c r="E11" s="8" t="s">
        <v>144</v>
      </c>
      <c r="F11" s="8" t="s">
        <v>145</v>
      </c>
      <c r="G11" s="8" t="s">
        <v>146</v>
      </c>
      <c r="H11" s="8" t="s">
        <v>147</v>
      </c>
      <c r="I11" s="8" t="s">
        <v>12</v>
      </c>
      <c r="J11" s="8" t="s">
        <v>13</v>
      </c>
      <c r="K11" s="8" t="s">
        <v>20</v>
      </c>
      <c r="L11" s="8" t="s">
        <v>62</v>
      </c>
      <c r="M11" s="8" t="s">
        <v>148</v>
      </c>
      <c r="N11" s="8" t="s">
        <v>49</v>
      </c>
      <c r="O11" s="9" t="s">
        <v>50</v>
      </c>
      <c r="P11" s="9" t="s">
        <v>50</v>
      </c>
      <c r="Q11" s="8" t="s">
        <v>51</v>
      </c>
      <c r="R11" s="8" t="s">
        <v>149</v>
      </c>
      <c r="S11" s="8" t="s">
        <v>150</v>
      </c>
    </row>
    <row r="12" spans="1:19" ht="57">
      <c r="A12" s="8" t="s">
        <v>151</v>
      </c>
      <c r="B12" s="8" t="s">
        <v>55</v>
      </c>
      <c r="C12" s="8" t="s">
        <v>152</v>
      </c>
      <c r="D12" s="8" t="s">
        <v>153</v>
      </c>
      <c r="E12" s="8" t="s">
        <v>154</v>
      </c>
      <c r="F12" s="8" t="s">
        <v>155</v>
      </c>
      <c r="G12" s="8" t="s">
        <v>156</v>
      </c>
      <c r="H12" s="8" t="s">
        <v>157</v>
      </c>
      <c r="I12" s="8" t="s">
        <v>12</v>
      </c>
      <c r="J12" s="8" t="s">
        <v>12</v>
      </c>
      <c r="K12" s="8" t="s">
        <v>17</v>
      </c>
      <c r="L12" s="8" t="s">
        <v>158</v>
      </c>
      <c r="M12" s="8" t="s">
        <v>159</v>
      </c>
      <c r="N12" s="8" t="s">
        <v>49</v>
      </c>
      <c r="O12" s="9" t="s">
        <v>50</v>
      </c>
      <c r="P12" s="9"/>
      <c r="Q12" s="8" t="s">
        <v>74</v>
      </c>
      <c r="R12" s="8" t="s">
        <v>160</v>
      </c>
      <c r="S12" s="8" t="s">
        <v>161</v>
      </c>
    </row>
    <row r="13" spans="1:19" ht="42.75">
      <c r="A13" s="8" t="s">
        <v>162</v>
      </c>
      <c r="B13" s="8" t="s">
        <v>163</v>
      </c>
      <c r="C13" s="8" t="s">
        <v>164</v>
      </c>
      <c r="D13" s="8" t="s">
        <v>165</v>
      </c>
      <c r="E13" s="8" t="s">
        <v>166</v>
      </c>
      <c r="F13" s="8" t="s">
        <v>167</v>
      </c>
      <c r="G13" s="8" t="s">
        <v>168</v>
      </c>
      <c r="H13" s="8" t="s">
        <v>169</v>
      </c>
      <c r="I13" s="8" t="s">
        <v>11</v>
      </c>
      <c r="J13" s="8" t="s">
        <v>12</v>
      </c>
      <c r="K13" s="8" t="s">
        <v>17</v>
      </c>
      <c r="L13" s="8" t="s">
        <v>170</v>
      </c>
      <c r="M13" s="8" t="s">
        <v>171</v>
      </c>
      <c r="N13" s="8" t="s">
        <v>49</v>
      </c>
      <c r="O13" s="9" t="s">
        <v>50</v>
      </c>
      <c r="P13" s="9"/>
      <c r="Q13" s="8" t="s">
        <v>74</v>
      </c>
      <c r="R13" s="8" t="s">
        <v>52</v>
      </c>
      <c r="S13" s="8" t="s">
        <v>172</v>
      </c>
    </row>
    <row r="14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4"/>
      <c r="Q14" s="3"/>
      <c r="R14" s="3"/>
      <c r="S14" s="3"/>
    </row>
    <row r="15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  <c r="P15" s="4"/>
      <c r="Q15" s="3"/>
      <c r="R15" s="3"/>
      <c r="S15" s="3"/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4"/>
      <c r="Q16" s="3"/>
      <c r="R16" s="3"/>
      <c r="S16" s="3"/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4"/>
      <c r="Q17" s="3"/>
      <c r="R17" s="3"/>
      <c r="S17" s="3"/>
    </row>
    <row r="18" spans="1:1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4"/>
      <c r="Q18" s="3"/>
      <c r="R18" s="3"/>
      <c r="S18" s="3"/>
    </row>
    <row r="19" spans="1: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4"/>
      <c r="Q19" s="3"/>
      <c r="R19" s="3"/>
      <c r="S19" s="3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4"/>
      <c r="Q20" s="3"/>
      <c r="R20" s="3"/>
      <c r="S20" s="3"/>
    </row>
    <row r="21" spans="1:1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4"/>
      <c r="Q21" s="3"/>
      <c r="R21" s="3"/>
      <c r="S21" s="3"/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4"/>
      <c r="Q22" s="3"/>
      <c r="R22" s="3"/>
      <c r="S22" s="3"/>
    </row>
    <row r="23" spans="1:1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4"/>
      <c r="Q23" s="3"/>
      <c r="R23" s="3"/>
      <c r="S23" s="3"/>
    </row>
    <row r="24" spans="1:1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4"/>
      <c r="Q24" s="3"/>
      <c r="R24" s="3"/>
      <c r="S24" s="3"/>
    </row>
    <row r="25" spans="1:1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4"/>
      <c r="Q25" s="3"/>
      <c r="R25" s="3"/>
      <c r="S25" s="3"/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4"/>
      <c r="Q26" s="3"/>
      <c r="R26" s="3"/>
      <c r="S26" s="3"/>
    </row>
    <row r="27" spans="1:1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4"/>
      <c r="Q27" s="3"/>
      <c r="R27" s="3"/>
      <c r="S27" s="3"/>
    </row>
    <row r="28" spans="1:1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4"/>
      <c r="Q28" s="3"/>
      <c r="R28" s="3"/>
      <c r="S28" s="3"/>
    </row>
    <row r="29" spans="1:1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4"/>
      <c r="Q29" s="3"/>
      <c r="R29" s="3"/>
      <c r="S29" s="3"/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3"/>
      <c r="R30" s="3"/>
      <c r="S30" s="3"/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3"/>
      <c r="R31" s="3"/>
      <c r="S31" s="3"/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4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4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4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  <c r="P41" s="4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  <c r="P42" s="4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  <c r="P43" s="4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  <c r="P44" s="4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  <c r="P45" s="4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4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4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  <c r="P48" s="4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  <c r="P49" s="4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4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4"/>
      <c r="Q51" s="3"/>
      <c r="R51" s="3"/>
      <c r="S51" s="3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4"/>
      <c r="Q52" s="3"/>
      <c r="R52" s="3"/>
      <c r="S52" s="3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4"/>
      <c r="Q53" s="3"/>
      <c r="R53" s="3"/>
      <c r="S53" s="3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4"/>
      <c r="Q54" s="3"/>
      <c r="R54" s="3"/>
      <c r="S54" s="3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  <c r="P55" s="4"/>
      <c r="Q55" s="3"/>
      <c r="R55" s="3"/>
      <c r="S55" s="3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  <c r="P56" s="4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  <c r="P57" s="4"/>
      <c r="Q57" s="3"/>
      <c r="R57" s="3"/>
      <c r="S57" s="3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  <c r="P58" s="4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/>
      <c r="P59" s="4"/>
      <c r="Q59" s="3"/>
      <c r="R59" s="3"/>
      <c r="S59" s="3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/>
      <c r="P62" s="4"/>
      <c r="Q62" s="3"/>
      <c r="R62" s="3"/>
      <c r="S62" s="3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/>
      <c r="P63" s="4"/>
      <c r="Q63" s="3"/>
      <c r="R63" s="3"/>
      <c r="S63" s="3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/>
      <c r="P64" s="4"/>
      <c r="Q64" s="3"/>
      <c r="R64" s="3"/>
      <c r="S64" s="3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/>
      <c r="P65" s="4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  <c r="P66" s="4"/>
      <c r="Q66" s="3"/>
      <c r="R66" s="3"/>
      <c r="S66" s="3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/>
      <c r="P67" s="4"/>
      <c r="Q67" s="3"/>
      <c r="R67" s="3"/>
      <c r="S67" s="3"/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4"/>
      <c r="Q68" s="3"/>
      <c r="R68" s="3"/>
      <c r="S68" s="3"/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/>
      <c r="P69" s="4"/>
      <c r="Q69" s="3"/>
      <c r="R69" s="3"/>
      <c r="S69" s="3"/>
    </row>
    <row r="70" spans="1:1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  <c r="P70" s="4"/>
      <c r="Q70" s="3"/>
      <c r="R70" s="3"/>
      <c r="S70" s="3"/>
    </row>
    <row r="71" spans="1:1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/>
      <c r="P71" s="4"/>
      <c r="Q71" s="3"/>
      <c r="R71" s="3"/>
      <c r="S71" s="3"/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  <c r="P72" s="4"/>
      <c r="Q72" s="3"/>
      <c r="R72" s="3"/>
      <c r="S72" s="3"/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4"/>
      <c r="P73" s="4"/>
      <c r="Q73" s="3"/>
      <c r="R73" s="3"/>
      <c r="S73" s="3"/>
    </row>
    <row r="74" spans="1:1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/>
      <c r="P74" s="4"/>
      <c r="Q74" s="3"/>
      <c r="R74" s="3"/>
      <c r="S74" s="3"/>
    </row>
    <row r="75" spans="1:1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/>
      <c r="P75" s="4"/>
      <c r="Q75" s="3"/>
      <c r="R75" s="3"/>
      <c r="S75" s="3"/>
    </row>
    <row r="76" spans="1:1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  <c r="P76" s="4"/>
      <c r="Q76" s="3"/>
      <c r="R76" s="3"/>
      <c r="S76" s="3"/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/>
      <c r="P77" s="4"/>
      <c r="Q77" s="3"/>
      <c r="R77" s="3"/>
      <c r="S77" s="3"/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  <c r="P78" s="4"/>
      <c r="Q78" s="3"/>
      <c r="R78" s="3"/>
      <c r="S78" s="3"/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  <c r="P79" s="4"/>
      <c r="Q79" s="3"/>
      <c r="R79" s="3"/>
      <c r="S79" s="3"/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/>
      <c r="P80" s="4"/>
      <c r="Q80" s="3"/>
      <c r="R80" s="3"/>
      <c r="S80" s="3"/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4"/>
      <c r="P81" s="4"/>
      <c r="Q81" s="3"/>
      <c r="R81" s="3"/>
      <c r="S81" s="3"/>
    </row>
    <row r="82" spans="1:1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/>
      <c r="P82" s="4"/>
      <c r="Q82" s="3"/>
      <c r="R82" s="3"/>
      <c r="S82" s="3"/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/>
      <c r="P83" s="4"/>
      <c r="Q83" s="3"/>
      <c r="R83" s="3"/>
      <c r="S83" s="3"/>
    </row>
    <row r="84" spans="1:1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4"/>
      <c r="Q84" s="3"/>
      <c r="R84" s="3"/>
      <c r="S84" s="3"/>
    </row>
    <row r="85" spans="1:1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/>
      <c r="P85" s="4"/>
      <c r="Q85" s="3"/>
      <c r="R85" s="3"/>
      <c r="S85" s="3"/>
    </row>
    <row r="86" spans="1:1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P86" s="4"/>
      <c r="Q86" s="3"/>
      <c r="R86" s="3"/>
      <c r="S86" s="3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/>
      <c r="P87" s="4"/>
      <c r="Q87" s="3"/>
      <c r="R87" s="3"/>
      <c r="S87" s="3"/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  <c r="P88" s="4"/>
      <c r="Q88" s="3"/>
      <c r="R88" s="3"/>
      <c r="S88" s="3"/>
    </row>
    <row r="89" spans="1:1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  <c r="P89" s="4"/>
      <c r="Q89" s="3"/>
      <c r="R89" s="3"/>
      <c r="S89" s="3"/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4"/>
      <c r="Q90" s="3"/>
      <c r="R90" s="3"/>
      <c r="S90" s="3"/>
    </row>
    <row r="91" spans="1:1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/>
      <c r="P91" s="4"/>
      <c r="Q91" s="3"/>
      <c r="R91" s="3"/>
      <c r="S91" s="3"/>
    </row>
    <row r="92" spans="1:1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  <c r="P92" s="4"/>
      <c r="Q92" s="3"/>
      <c r="R92" s="3"/>
      <c r="S92" s="3"/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/>
      <c r="P93" s="4"/>
      <c r="Q93" s="3"/>
      <c r="R93" s="3"/>
      <c r="S93" s="3"/>
    </row>
    <row r="94" spans="1:1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4"/>
      <c r="Q94" s="3"/>
      <c r="R94" s="3"/>
      <c r="S94" s="3"/>
    </row>
    <row r="95" spans="1:1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  <c r="P95" s="4"/>
      <c r="Q95" s="3"/>
      <c r="R95" s="3"/>
      <c r="S95" s="3"/>
    </row>
    <row r="96" spans="1:1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  <c r="P96" s="4"/>
      <c r="Q96" s="3"/>
      <c r="R96" s="3"/>
      <c r="S96" s="3"/>
    </row>
    <row r="97" spans="1:1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  <c r="P97" s="4"/>
      <c r="Q97" s="3"/>
      <c r="R97" s="3"/>
      <c r="S97" s="3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  <c r="P98" s="4"/>
      <c r="Q98" s="3"/>
      <c r="R98" s="3"/>
      <c r="S98" s="3"/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  <c r="P99" s="4"/>
      <c r="Q99" s="3"/>
      <c r="R99" s="3"/>
      <c r="S99" s="3"/>
    </row>
    <row r="100" spans="1:1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  <c r="P100" s="4"/>
      <c r="Q100" s="3"/>
      <c r="R100" s="3"/>
      <c r="S100" s="3"/>
    </row>
    <row r="101" spans="1:1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/>
      <c r="P101" s="4"/>
      <c r="Q101" s="3"/>
      <c r="R101" s="3"/>
      <c r="S101" s="3"/>
    </row>
    <row r="102" spans="1:1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  <c r="P102" s="4"/>
      <c r="Q102" s="3"/>
      <c r="R102" s="3"/>
      <c r="S102" s="3"/>
    </row>
    <row r="103" spans="1:1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/>
      <c r="P103" s="4"/>
      <c r="Q103" s="3"/>
      <c r="R103" s="3"/>
      <c r="S103" s="3"/>
    </row>
    <row r="104" spans="1:1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/>
      <c r="P104" s="4"/>
      <c r="Q104" s="3"/>
      <c r="R104" s="3"/>
      <c r="S104" s="3"/>
    </row>
    <row r="105" spans="1:1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/>
      <c r="P105" s="4"/>
      <c r="Q105" s="3"/>
      <c r="R105" s="3"/>
      <c r="S105" s="3"/>
    </row>
    <row r="106" spans="1:1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4"/>
      <c r="Q106" s="3"/>
      <c r="R106" s="3"/>
      <c r="S106" s="3"/>
    </row>
    <row r="107" spans="1:1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/>
      <c r="P107" s="4"/>
      <c r="Q107" s="3"/>
      <c r="R107" s="3"/>
      <c r="S107" s="3"/>
    </row>
    <row r="108" spans="1:1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4"/>
      <c r="Q108" s="3"/>
      <c r="R108" s="3"/>
      <c r="S108" s="3"/>
    </row>
    <row r="109" spans="1:1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/>
      <c r="P109" s="4"/>
      <c r="Q109" s="3"/>
      <c r="R109" s="3"/>
      <c r="S109" s="3"/>
    </row>
    <row r="110" spans="1:1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/>
      <c r="P110" s="4"/>
      <c r="Q110" s="3"/>
      <c r="R110" s="3"/>
      <c r="S110" s="3"/>
    </row>
    <row r="111" spans="1:1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/>
      <c r="P111" s="4"/>
      <c r="Q111" s="3"/>
      <c r="R111" s="3"/>
      <c r="S111" s="3"/>
    </row>
    <row r="112" spans="1:1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/>
      <c r="P112" s="4"/>
      <c r="Q112" s="3"/>
      <c r="R112" s="3"/>
      <c r="S112" s="3"/>
    </row>
    <row r="113" spans="1:1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/>
      <c r="P113" s="4"/>
      <c r="Q113" s="3"/>
      <c r="R113" s="3"/>
      <c r="S113" s="3"/>
    </row>
    <row r="114" spans="1:1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4"/>
      <c r="Q114" s="3"/>
      <c r="R114" s="3"/>
      <c r="S114" s="3"/>
    </row>
    <row r="115" spans="1:1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4"/>
      <c r="Q115" s="3"/>
      <c r="R115" s="3"/>
      <c r="S115" s="3"/>
    </row>
    <row r="116" spans="1:1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4"/>
      <c r="Q116" s="3"/>
      <c r="R116" s="3"/>
      <c r="S116" s="3"/>
    </row>
    <row r="117" spans="1:1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  <c r="P117" s="4"/>
      <c r="Q117" s="3"/>
      <c r="R117" s="3"/>
      <c r="S117" s="3"/>
    </row>
    <row r="118" spans="1:1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4"/>
      <c r="Q118" s="3"/>
      <c r="R118" s="3"/>
      <c r="S118" s="3"/>
    </row>
    <row r="119" spans="1: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/>
      <c r="P119" s="4"/>
      <c r="Q119" s="3"/>
      <c r="R119" s="3"/>
      <c r="S119" s="3"/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4"/>
      <c r="Q120" s="3"/>
      <c r="R120" s="3"/>
      <c r="S120" s="3"/>
    </row>
    <row r="121" spans="1:1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4"/>
      <c r="Q121" s="3"/>
      <c r="R121" s="3"/>
      <c r="S121" s="3"/>
    </row>
    <row r="122" spans="1:1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4"/>
      <c r="Q122" s="3"/>
      <c r="R122" s="3"/>
      <c r="S122" s="3"/>
    </row>
    <row r="123" spans="1:1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/>
      <c r="P123" s="4"/>
      <c r="Q123" s="3"/>
      <c r="R123" s="3"/>
      <c r="S123" s="3"/>
    </row>
    <row r="124" spans="1:1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4"/>
      <c r="Q124" s="3"/>
      <c r="R124" s="3"/>
      <c r="S124" s="3"/>
    </row>
    <row r="125" spans="1:1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/>
      <c r="P125" s="4"/>
      <c r="Q125" s="3"/>
      <c r="R125" s="3"/>
      <c r="S125" s="3"/>
    </row>
    <row r="126" spans="1:1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4"/>
      <c r="Q126" s="3"/>
      <c r="R126" s="3"/>
      <c r="S126" s="3"/>
    </row>
    <row r="127" spans="1:1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/>
      <c r="P127" s="4"/>
      <c r="Q127" s="3"/>
      <c r="R127" s="3"/>
      <c r="S127" s="3"/>
    </row>
    <row r="128" spans="1:1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4"/>
      <c r="Q128" s="3"/>
      <c r="R128" s="3"/>
      <c r="S128" s="3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/>
      <c r="P129" s="4"/>
      <c r="Q129" s="3"/>
      <c r="R129" s="3"/>
      <c r="S129" s="3"/>
    </row>
    <row r="130" spans="1:1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4"/>
      <c r="Q130" s="3"/>
      <c r="R130" s="3"/>
      <c r="S130" s="3"/>
    </row>
    <row r="131" spans="1:1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4"/>
      <c r="Q131" s="3"/>
      <c r="R131" s="3"/>
      <c r="S131" s="3"/>
    </row>
    <row r="132" spans="1:1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4"/>
      <c r="Q132" s="3"/>
      <c r="R132" s="3"/>
      <c r="S132" s="3"/>
    </row>
    <row r="133" spans="1:1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/>
      <c r="P133" s="4"/>
      <c r="Q133" s="3"/>
      <c r="R133" s="3"/>
      <c r="S133" s="3"/>
    </row>
    <row r="134" spans="1:1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4"/>
      <c r="Q134" s="3"/>
      <c r="R134" s="3"/>
      <c r="S134" s="3"/>
    </row>
    <row r="135" spans="1:1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/>
      <c r="P135" s="4"/>
      <c r="Q135" s="3"/>
      <c r="R135" s="3"/>
      <c r="S135" s="3"/>
    </row>
    <row r="136" spans="1:1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4"/>
      <c r="Q136" s="3"/>
      <c r="R136" s="3"/>
      <c r="S136" s="3"/>
    </row>
    <row r="137" spans="1:1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/>
      <c r="P137" s="4"/>
      <c r="Q137" s="3"/>
      <c r="R137" s="3"/>
      <c r="S137" s="3"/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4"/>
      <c r="Q138" s="3"/>
      <c r="R138" s="3"/>
      <c r="S138" s="3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/>
      <c r="P139" s="4"/>
      <c r="Q139" s="3"/>
      <c r="R139" s="3"/>
      <c r="S139" s="3"/>
    </row>
    <row r="140" spans="1:1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4"/>
      <c r="Q140" s="3"/>
      <c r="R140" s="3"/>
      <c r="S140" s="3"/>
    </row>
    <row r="141" spans="1:1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/>
      <c r="P141" s="4"/>
      <c r="Q141" s="3"/>
      <c r="R141" s="3"/>
      <c r="S141" s="3"/>
    </row>
    <row r="142" spans="1:1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4"/>
      <c r="Q142" s="3"/>
      <c r="R142" s="3"/>
      <c r="S142" s="3"/>
    </row>
    <row r="143" spans="1:1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  <c r="P143" s="4"/>
      <c r="Q143" s="3"/>
      <c r="R143" s="3"/>
      <c r="S143" s="3"/>
    </row>
    <row r="144" spans="1:1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4"/>
      <c r="Q144" s="3"/>
      <c r="R144" s="3"/>
      <c r="S144" s="3"/>
    </row>
    <row r="145" spans="1:1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  <c r="P145" s="4"/>
      <c r="Q145" s="3"/>
      <c r="R145" s="3"/>
      <c r="S145" s="3"/>
    </row>
    <row r="146" spans="1:1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4"/>
      <c r="Q146" s="3"/>
      <c r="R146" s="3"/>
      <c r="S146" s="3"/>
    </row>
    <row r="147" spans="1:1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  <c r="P147" s="4"/>
      <c r="Q147" s="3"/>
      <c r="R147" s="3"/>
      <c r="S147" s="3"/>
    </row>
    <row r="148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4"/>
      <c r="Q148" s="3"/>
      <c r="R148" s="3"/>
      <c r="S148" s="3"/>
    </row>
    <row r="149" spans="1:1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/>
      <c r="P149" s="4"/>
      <c r="Q149" s="3"/>
      <c r="R149" s="3"/>
      <c r="S149" s="3"/>
    </row>
    <row r="150" spans="1:1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4"/>
      <c r="Q150" s="3"/>
      <c r="R150" s="3"/>
      <c r="S150" s="3"/>
    </row>
    <row r="151" spans="1:1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/>
      <c r="P151" s="4"/>
      <c r="Q151" s="3"/>
      <c r="R151" s="3"/>
      <c r="S151" s="3"/>
    </row>
    <row r="152" spans="1:1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4"/>
      <c r="Q152" s="3"/>
      <c r="R152" s="3"/>
      <c r="S152" s="3"/>
    </row>
    <row r="153" spans="1:1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/>
      <c r="P153" s="4"/>
      <c r="Q153" s="3"/>
      <c r="R153" s="3"/>
      <c r="S153" s="3"/>
    </row>
    <row r="154" spans="1:1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4"/>
      <c r="Q154" s="3"/>
      <c r="R154" s="3"/>
      <c r="S154" s="3"/>
    </row>
    <row r="155" spans="1:1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/>
      <c r="P155" s="4"/>
      <c r="Q155" s="3"/>
      <c r="R155" s="3"/>
      <c r="S155" s="3"/>
    </row>
    <row r="156" spans="1:1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4"/>
      <c r="Q156" s="3"/>
      <c r="R156" s="3"/>
      <c r="S156" s="3"/>
    </row>
    <row r="157" spans="1:1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/>
      <c r="P157" s="4"/>
      <c r="Q157" s="3"/>
      <c r="R157" s="3"/>
      <c r="S157" s="3"/>
    </row>
    <row r="158" spans="1:1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4"/>
      <c r="Q158" s="3"/>
      <c r="R158" s="3"/>
      <c r="S158" s="3"/>
    </row>
    <row r="159" spans="1:1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/>
      <c r="P159" s="4"/>
      <c r="Q159" s="3"/>
      <c r="R159" s="3"/>
      <c r="S159" s="3"/>
    </row>
    <row r="160" spans="1:1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4"/>
      <c r="Q160" s="3"/>
      <c r="R160" s="3"/>
      <c r="S160" s="3"/>
    </row>
    <row r="161" spans="1:1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4"/>
      <c r="Q161" s="3"/>
      <c r="R161" s="3"/>
      <c r="S161" s="3"/>
    </row>
    <row r="162" spans="1:1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4"/>
      <c r="Q162" s="3"/>
      <c r="R162" s="3"/>
      <c r="S162" s="3"/>
    </row>
    <row r="163" spans="1:1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4"/>
      <c r="Q163" s="3"/>
      <c r="R163" s="3"/>
      <c r="S163" s="3"/>
    </row>
    <row r="164" spans="1:1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4"/>
      <c r="Q164" s="3"/>
      <c r="R164" s="3"/>
      <c r="S164" s="3"/>
    </row>
    <row r="165" spans="1:1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4"/>
      <c r="Q165" s="3"/>
      <c r="R165" s="3"/>
      <c r="S165" s="3"/>
    </row>
    <row r="166" spans="1:1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4"/>
      <c r="Q166" s="3"/>
      <c r="R166" s="3"/>
      <c r="S166" s="3"/>
    </row>
    <row r="16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4"/>
      <c r="Q167" s="3"/>
      <c r="R167" s="3"/>
      <c r="S167" s="3"/>
    </row>
    <row r="168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4"/>
      <c r="Q168" s="3"/>
      <c r="R168" s="3"/>
      <c r="S168" s="3"/>
    </row>
    <row r="169" spans="1:1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4"/>
      <c r="Q169" s="3"/>
      <c r="R169" s="3"/>
      <c r="S169" s="3"/>
    </row>
    <row r="170" spans="1:1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4"/>
      <c r="Q170" s="3"/>
      <c r="R170" s="3"/>
      <c r="S170" s="3"/>
    </row>
    <row r="171" spans="1:1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/>
      <c r="P171" s="4"/>
      <c r="Q171" s="3"/>
      <c r="R171" s="3"/>
      <c r="S171" s="3"/>
    </row>
    <row r="172" spans="1:1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4"/>
      <c r="Q172" s="3"/>
      <c r="R172" s="3"/>
      <c r="S172" s="3"/>
    </row>
    <row r="173" spans="1:1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/>
      <c r="P173" s="4"/>
      <c r="Q173" s="3"/>
      <c r="R173" s="3"/>
      <c r="S173" s="3"/>
    </row>
    <row r="174" spans="1:1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4"/>
      <c r="Q174" s="3"/>
      <c r="R174" s="3"/>
      <c r="S174" s="3"/>
    </row>
    <row r="175" spans="1:1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/>
      <c r="P175" s="4"/>
      <c r="Q175" s="3"/>
      <c r="R175" s="3"/>
      <c r="S175" s="3"/>
    </row>
    <row r="176" spans="1:1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4"/>
      <c r="Q176" s="3"/>
      <c r="R176" s="3"/>
      <c r="S176" s="3"/>
    </row>
    <row r="177" spans="1:1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/>
      <c r="P177" s="4"/>
      <c r="Q177" s="3"/>
      <c r="R177" s="3"/>
      <c r="S177" s="3"/>
    </row>
    <row r="178" spans="1:1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4"/>
      <c r="Q178" s="3"/>
      <c r="R178" s="3"/>
      <c r="S178" s="3"/>
    </row>
    <row r="179" spans="1:1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/>
      <c r="P179" s="4"/>
      <c r="Q179" s="3"/>
      <c r="R179" s="3"/>
      <c r="S179" s="3"/>
    </row>
    <row r="180" spans="1:1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4"/>
      <c r="Q180" s="3"/>
      <c r="R180" s="3"/>
      <c r="S180" s="3"/>
    </row>
    <row r="181" spans="1:1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/>
      <c r="P181" s="4"/>
      <c r="Q181" s="3"/>
      <c r="R181" s="3"/>
      <c r="S181" s="3"/>
    </row>
    <row r="182" spans="1:1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4"/>
      <c r="Q182" s="3"/>
      <c r="R182" s="3"/>
      <c r="S182" s="3"/>
    </row>
    <row r="183" spans="1:1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/>
      <c r="P183" s="4"/>
      <c r="Q183" s="3"/>
      <c r="R183" s="3"/>
      <c r="S183" s="3"/>
    </row>
    <row r="184" spans="1:1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4"/>
      <c r="Q184" s="3"/>
      <c r="R184" s="3"/>
      <c r="S184" s="3"/>
    </row>
    <row r="185" spans="1:1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  <c r="P185" s="4"/>
      <c r="Q185" s="3"/>
      <c r="R185" s="3"/>
      <c r="S185" s="3"/>
    </row>
    <row r="186" spans="1:1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4"/>
      <c r="Q186" s="3"/>
      <c r="R186" s="3"/>
      <c r="S186" s="3"/>
    </row>
    <row r="187" spans="1:1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  <c r="P187" s="4"/>
      <c r="Q187" s="3"/>
      <c r="R187" s="3"/>
      <c r="S187" s="3"/>
    </row>
    <row r="188" spans="1:1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4"/>
      <c r="Q188" s="3"/>
      <c r="R188" s="3"/>
      <c r="S188" s="3"/>
    </row>
    <row r="189" spans="1:1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  <c r="P189" s="4"/>
      <c r="Q189" s="3"/>
      <c r="R189" s="3"/>
      <c r="S189" s="3"/>
    </row>
    <row r="190" spans="1:1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4"/>
      <c r="Q190" s="3"/>
      <c r="R190" s="3"/>
      <c r="S190" s="3"/>
    </row>
    <row r="191" spans="1:1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/>
      <c r="P191" s="4"/>
      <c r="Q191" s="3"/>
      <c r="R191" s="3"/>
      <c r="S191" s="3"/>
    </row>
    <row r="192" spans="1:1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/>
      <c r="P192" s="4"/>
      <c r="Q192" s="3"/>
      <c r="R192" s="3"/>
      <c r="S192" s="3"/>
    </row>
    <row r="193" spans="1:1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4"/>
      <c r="P193" s="4"/>
      <c r="Q193" s="3"/>
      <c r="R193" s="3"/>
      <c r="S193" s="3"/>
    </row>
    <row r="194" spans="1:1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/>
      <c r="P194" s="4"/>
      <c r="Q194" s="3"/>
      <c r="R194" s="3"/>
      <c r="S194" s="3"/>
    </row>
    <row r="195" spans="1:1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/>
      <c r="P195" s="4"/>
      <c r="Q195" s="3"/>
      <c r="R195" s="3"/>
      <c r="S195" s="3"/>
    </row>
    <row r="196" spans="1:1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/>
      <c r="P196" s="4"/>
      <c r="Q196" s="3"/>
      <c r="R196" s="3"/>
      <c r="S196" s="3"/>
    </row>
    <row r="197" spans="1:1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/>
      <c r="P197" s="4"/>
      <c r="Q197" s="3"/>
      <c r="R197" s="3"/>
      <c r="S197" s="3"/>
    </row>
    <row r="198" spans="1:1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/>
      <c r="P198" s="4"/>
      <c r="Q198" s="3"/>
      <c r="R198" s="3"/>
      <c r="S198" s="3"/>
    </row>
    <row r="199" spans="1:1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/>
      <c r="P199" s="4"/>
      <c r="Q199" s="3"/>
      <c r="R199" s="3"/>
      <c r="S199" s="3"/>
    </row>
    <row r="200" spans="1:1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/>
      <c r="P200" s="4"/>
      <c r="Q200" s="3"/>
      <c r="R200" s="3"/>
      <c r="S200" s="3"/>
    </row>
  </sheetData>
  <conditionalFormatting sqref="I2:I200">
    <cfRule type="expression" dxfId="38" priority="1">
      <formula>$I2="Critical"</formula>
    </cfRule>
    <cfRule type="expression" dxfId="37" priority="2">
      <formula>$I2="High"</formula>
    </cfRule>
    <cfRule type="expression" dxfId="36" priority="3">
      <formula>$I2="Medium"</formula>
    </cfRule>
    <cfRule type="expression" dxfId="35" priority="4">
      <formula>$I2="Low"</formula>
    </cfRule>
  </conditionalFormatting>
  <conditionalFormatting sqref="K2:K200">
    <cfRule type="expression" dxfId="34" priority="5">
      <formula>$K2="Open"</formula>
    </cfRule>
    <cfRule type="expression" dxfId="33" priority="6">
      <formula>$K2="Closed"</formula>
    </cfRule>
    <cfRule type="expression" dxfId="32" priority="7">
      <formula>$K2="Fixed"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>
          <x14:formula1>
            <xm:f>Lists!$A$2:$A$5</xm:f>
          </x14:formula1>
          <xm:sqref>I2:I200</xm:sqref>
        </x14:dataValidation>
        <x14:dataValidation type="list">
          <x14:formula1>
            <xm:f>Lists!$B$2:$B$4</xm:f>
          </x14:formula1>
          <xm:sqref>J2:J200</xm:sqref>
        </x14:dataValidation>
        <x14:dataValidation type="list">
          <x14:formula1>
            <xm:f>Lists!$C$2:$C$8</xm:f>
          </x14:formula1>
          <xm:sqref>K2:K200</xm:sqref>
        </x14:dataValidation>
        <x14:dataValidation type="list">
          <x14:formula1>
            <xm:f>Lists!$D$2:$D$12</xm:f>
          </x14:formula1>
          <xm:sqref>B2:B200</xm:sqref>
        </x14:dataValidation>
        <x14:dataValidation type="list">
          <x14:formula1>
            <xm:f>Lists!$E$2:$E$5</xm:f>
          </x14:formula1>
          <xm:sqref>Q2:Q200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D20" sqref="D20"/>
    </sheetView>
  </sheetViews>
  <sheetFormatPr defaultRowHeight="14.25"/>
  <cols>
    <col min="1" max="1" width="24" customWidth="1"/>
    <col min="2" max="2" width="48" customWidth="1"/>
    <col min="3" max="3" width="45" customWidth="1"/>
  </cols>
  <sheetData>
    <row r="1" spans="1:3" ht="15" customHeight="1">
      <c r="A1" s="2" t="s">
        <v>173</v>
      </c>
      <c r="B1" s="2" t="s">
        <v>25</v>
      </c>
      <c r="C1" s="2" t="s">
        <v>174</v>
      </c>
    </row>
    <row r="2" spans="1:3" ht="15" customHeight="1">
      <c r="A2" s="8" t="s">
        <v>22</v>
      </c>
      <c r="B2" s="8" t="s">
        <v>175</v>
      </c>
      <c r="C2" s="8" t="s">
        <v>39</v>
      </c>
    </row>
    <row r="3" spans="1:3" ht="15" customHeight="1">
      <c r="A3" s="8" t="s">
        <v>23</v>
      </c>
      <c r="B3" s="8" t="s">
        <v>176</v>
      </c>
      <c r="C3" s="8" t="s">
        <v>40</v>
      </c>
    </row>
    <row r="4" spans="1:3" ht="15" customHeight="1">
      <c r="A4" s="8" t="s">
        <v>24</v>
      </c>
      <c r="B4" s="8" t="s">
        <v>177</v>
      </c>
      <c r="C4" s="8" t="s">
        <v>41</v>
      </c>
    </row>
    <row r="5" spans="1:3" ht="26.45" customHeight="1">
      <c r="A5" s="8" t="s">
        <v>25</v>
      </c>
      <c r="B5" s="8" t="s">
        <v>178</v>
      </c>
      <c r="C5" s="8" t="s">
        <v>179</v>
      </c>
    </row>
    <row r="6" spans="1:3" ht="39.6" customHeight="1">
      <c r="A6" s="8" t="s">
        <v>26</v>
      </c>
      <c r="B6" s="8" t="s">
        <v>180</v>
      </c>
      <c r="C6" s="8" t="s">
        <v>181</v>
      </c>
    </row>
    <row r="7" spans="1:3" ht="15" customHeight="1">
      <c r="A7" s="8" t="s">
        <v>27</v>
      </c>
      <c r="B7" s="8" t="s">
        <v>182</v>
      </c>
      <c r="C7" s="8" t="s">
        <v>167</v>
      </c>
    </row>
    <row r="8" spans="1:3" ht="15" customHeight="1">
      <c r="A8" s="8" t="s">
        <v>28</v>
      </c>
      <c r="B8" s="8" t="s">
        <v>183</v>
      </c>
      <c r="C8" s="8" t="s">
        <v>184</v>
      </c>
    </row>
    <row r="9" spans="1:3" ht="15" customHeight="1">
      <c r="A9" s="8" t="s">
        <v>29</v>
      </c>
      <c r="B9" s="8" t="s">
        <v>185</v>
      </c>
      <c r="C9" s="8" t="s">
        <v>186</v>
      </c>
    </row>
    <row r="10" spans="1:3" ht="15" customHeight="1">
      <c r="A10" s="8" t="s">
        <v>9</v>
      </c>
      <c r="B10" s="8" t="s">
        <v>187</v>
      </c>
      <c r="C10" s="8" t="s">
        <v>188</v>
      </c>
    </row>
    <row r="11" spans="1:3" ht="15" customHeight="1">
      <c r="A11" s="8" t="s">
        <v>30</v>
      </c>
      <c r="B11" s="8" t="s">
        <v>189</v>
      </c>
      <c r="C11" s="8" t="s">
        <v>190</v>
      </c>
    </row>
    <row r="12" spans="1:3" ht="15" customHeight="1">
      <c r="A12" s="8" t="s">
        <v>15</v>
      </c>
      <c r="B12" s="8" t="s">
        <v>191</v>
      </c>
      <c r="C12" s="8" t="s">
        <v>192</v>
      </c>
    </row>
    <row r="13" spans="1:3" ht="15" customHeight="1">
      <c r="A13" s="8" t="s">
        <v>31</v>
      </c>
      <c r="B13" s="8" t="s">
        <v>193</v>
      </c>
      <c r="C13" s="8" t="s">
        <v>194</v>
      </c>
    </row>
    <row r="14" spans="1:3" ht="15" customHeight="1">
      <c r="A14" s="8" t="s">
        <v>32</v>
      </c>
      <c r="B14" s="8" t="s">
        <v>195</v>
      </c>
      <c r="C14" s="8" t="s">
        <v>48</v>
      </c>
    </row>
    <row r="15" spans="1:3" ht="15" customHeight="1">
      <c r="A15" s="8" t="s">
        <v>33</v>
      </c>
      <c r="B15" s="8" t="s">
        <v>196</v>
      </c>
      <c r="C15" s="8" t="s">
        <v>49</v>
      </c>
    </row>
    <row r="16" spans="1:3" ht="15" customHeight="1">
      <c r="A16" s="8" t="s">
        <v>34</v>
      </c>
      <c r="B16" s="8" t="s">
        <v>197</v>
      </c>
      <c r="C16" s="8" t="s">
        <v>50</v>
      </c>
    </row>
    <row r="17" spans="1:3" ht="15" customHeight="1">
      <c r="A17" s="8" t="s">
        <v>35</v>
      </c>
      <c r="B17" s="8" t="s">
        <v>198</v>
      </c>
      <c r="C17" s="8" t="s">
        <v>199</v>
      </c>
    </row>
    <row r="18" spans="1:3" ht="15" customHeight="1">
      <c r="A18" s="8" t="s">
        <v>36</v>
      </c>
      <c r="B18" s="8" t="s">
        <v>200</v>
      </c>
      <c r="C18" s="8" t="s">
        <v>201</v>
      </c>
    </row>
    <row r="19" spans="1:3" ht="15" customHeight="1">
      <c r="A19" s="8" t="s">
        <v>37</v>
      </c>
      <c r="B19" s="8" t="s">
        <v>202</v>
      </c>
      <c r="C19" s="8" t="s">
        <v>52</v>
      </c>
    </row>
    <row r="20" spans="1:3" ht="15" customHeight="1">
      <c r="A20" s="8" t="s">
        <v>38</v>
      </c>
      <c r="B20" s="8" t="s">
        <v>203</v>
      </c>
      <c r="C20" s="8" t="s">
        <v>204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26" sqref="B26"/>
    </sheetView>
  </sheetViews>
  <sheetFormatPr defaultRowHeight="14.25"/>
  <cols>
    <col min="1" max="5" width="22" customWidth="1"/>
  </cols>
  <sheetData>
    <row r="1" spans="1:5" ht="15">
      <c r="A1" s="1" t="s">
        <v>9</v>
      </c>
      <c r="B1" s="1" t="s">
        <v>30</v>
      </c>
      <c r="C1" s="1" t="s">
        <v>15</v>
      </c>
      <c r="D1" s="1" t="s">
        <v>23</v>
      </c>
      <c r="E1" s="1" t="s">
        <v>36</v>
      </c>
    </row>
    <row r="2" spans="1:5">
      <c r="A2" s="10" t="s">
        <v>11</v>
      </c>
      <c r="B2" s="10" t="s">
        <v>12</v>
      </c>
      <c r="C2" s="10" t="s">
        <v>16</v>
      </c>
      <c r="D2" s="10" t="s">
        <v>130</v>
      </c>
      <c r="E2" s="10" t="s">
        <v>51</v>
      </c>
    </row>
    <row r="3" spans="1:5">
      <c r="A3" s="10" t="s">
        <v>12</v>
      </c>
      <c r="B3" s="10" t="s">
        <v>13</v>
      </c>
      <c r="C3" s="10" t="s">
        <v>17</v>
      </c>
      <c r="D3" s="10" t="s">
        <v>141</v>
      </c>
      <c r="E3" s="10" t="s">
        <v>205</v>
      </c>
    </row>
    <row r="4" spans="1:5">
      <c r="A4" s="10" t="s">
        <v>13</v>
      </c>
      <c r="B4" s="10" t="s">
        <v>14</v>
      </c>
      <c r="C4" s="10" t="s">
        <v>18</v>
      </c>
      <c r="D4" s="10" t="s">
        <v>55</v>
      </c>
      <c r="E4" s="10" t="s">
        <v>74</v>
      </c>
    </row>
    <row r="5" spans="1:5">
      <c r="A5" s="10" t="s">
        <v>14</v>
      </c>
      <c r="B5" s="10"/>
      <c r="C5" s="10" t="s">
        <v>19</v>
      </c>
      <c r="D5" s="10" t="s">
        <v>88</v>
      </c>
      <c r="E5" s="10" t="s">
        <v>206</v>
      </c>
    </row>
    <row r="6" spans="1:5">
      <c r="A6" s="10"/>
      <c r="B6" s="10"/>
      <c r="C6" s="10" t="s">
        <v>20</v>
      </c>
      <c r="D6" s="10" t="s">
        <v>40</v>
      </c>
      <c r="E6" s="10"/>
    </row>
    <row r="7" spans="1:5">
      <c r="A7" s="10"/>
      <c r="B7" s="10"/>
      <c r="C7" s="10" t="s">
        <v>21</v>
      </c>
      <c r="D7" s="10" t="s">
        <v>108</v>
      </c>
      <c r="E7" s="10"/>
    </row>
    <row r="8" spans="1:5">
      <c r="A8" s="10"/>
      <c r="B8" s="10"/>
      <c r="C8" s="10" t="s">
        <v>207</v>
      </c>
      <c r="D8" s="10" t="s">
        <v>119</v>
      </c>
      <c r="E8" s="10"/>
    </row>
    <row r="9" spans="1:5">
      <c r="A9" s="10"/>
      <c r="B9" s="10"/>
      <c r="C9" s="10"/>
      <c r="D9" s="10" t="s">
        <v>208</v>
      </c>
      <c r="E9" s="10"/>
    </row>
    <row r="10" spans="1:5">
      <c r="A10" s="10"/>
      <c r="B10" s="10"/>
      <c r="C10" s="10"/>
      <c r="D10" s="10" t="s">
        <v>209</v>
      </c>
      <c r="E10" s="10"/>
    </row>
    <row r="11" spans="1:5">
      <c r="A11" s="10"/>
      <c r="B11" s="10"/>
      <c r="C11" s="10"/>
      <c r="D11" s="10" t="s">
        <v>163</v>
      </c>
      <c r="E11" s="10"/>
    </row>
    <row r="12" spans="1:5">
      <c r="A12" s="10"/>
      <c r="B12" s="10"/>
      <c r="C12" s="10"/>
      <c r="D12" s="10" t="s">
        <v>210</v>
      </c>
      <c r="E1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Sample Bug Reports</vt:lpstr>
      <vt:lpstr>Bug Report Template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2026-06-23T10:14:32Z</dcterms:modified>
</cp:coreProperties>
</file>