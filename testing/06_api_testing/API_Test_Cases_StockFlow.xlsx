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ersonalProject\stockflow-testing-project\testing\06_api_testing\"/>
    </mc:Choice>
  </mc:AlternateContent>
  <bookViews>
    <workbookView xWindow="0" yWindow="0" windowWidth="28800" windowHeight="12315"/>
  </bookViews>
  <sheets>
    <sheet name="Summary" sheetId="1" r:id="rId1"/>
    <sheet name="API Test Cases" sheetId="2" r:id="rId2"/>
    <sheet name="API Checklist" sheetId="3" r:id="rId3"/>
    <sheet name="Test Data" sheetId="4" r:id="rId4"/>
    <sheet name="Lists" sheetId="5" r:id="rId5"/>
  </sheets>
  <calcPr calcId="152511"/>
</workbook>
</file>

<file path=xl/calcChain.xml><?xml version="1.0" encoding="utf-8"?>
<calcChain xmlns="http://schemas.openxmlformats.org/spreadsheetml/2006/main">
  <c r="E11" i="1" l="1"/>
  <c r="E10" i="1"/>
  <c r="B10" i="1"/>
  <c r="E9" i="1"/>
  <c r="B9" i="1"/>
  <c r="E8" i="1"/>
  <c r="B8" i="1"/>
  <c r="E7" i="1"/>
  <c r="B7" i="1"/>
  <c r="E6" i="1"/>
  <c r="B6" i="1"/>
  <c r="E5" i="1"/>
  <c r="B5" i="1"/>
  <c r="E4" i="1"/>
  <c r="B4" i="1"/>
</calcChain>
</file>

<file path=xl/sharedStrings.xml><?xml version="1.0" encoding="utf-8"?>
<sst xmlns="http://schemas.openxmlformats.org/spreadsheetml/2006/main" count="1353" uniqueCount="503">
  <si>
    <t>StockFlow API Testing Summary</t>
  </si>
  <si>
    <t>Metric</t>
  </si>
  <si>
    <t>Value</t>
  </si>
  <si>
    <t>Module</t>
  </si>
  <si>
    <t>Count</t>
  </si>
  <si>
    <t>Total API Test Cases</t>
  </si>
  <si>
    <t>Authentication</t>
  </si>
  <si>
    <t>High Priority</t>
  </si>
  <si>
    <t>Health</t>
  </si>
  <si>
    <t>Medium Priority</t>
  </si>
  <si>
    <t>Product Management</t>
  </si>
  <si>
    <t>Low Priority</t>
  </si>
  <si>
    <t>Stock-In</t>
  </si>
  <si>
    <t>Not Run</t>
  </si>
  <si>
    <t>Stock-Out</t>
  </si>
  <si>
    <t>Pass</t>
  </si>
  <si>
    <t>Dashboard</t>
  </si>
  <si>
    <t>Fail</t>
  </si>
  <si>
    <t>Inventory Report</t>
  </si>
  <si>
    <t>Role-Based Access</t>
  </si>
  <si>
    <t>Test Case ID</t>
  </si>
  <si>
    <t>Test Scenario</t>
  </si>
  <si>
    <t>Method</t>
  </si>
  <si>
    <t>Endpoint</t>
  </si>
  <si>
    <t>Auth Required</t>
  </si>
  <si>
    <t>Role</t>
  </si>
  <si>
    <t>Preconditions</t>
  </si>
  <si>
    <t>Request Body / Params</t>
  </si>
  <si>
    <t>Expected Status</t>
  </si>
  <si>
    <t>Expected Result</t>
  </si>
  <si>
    <t>Priority</t>
  </si>
  <si>
    <t>Test Type</t>
  </si>
  <si>
    <t>Execution Status</t>
  </si>
  <si>
    <t>Notes</t>
  </si>
  <si>
    <t>API-AUTH-001</t>
  </si>
  <si>
    <t>Login successfully with valid Admin credentials</t>
  </si>
  <si>
    <t>POST</t>
  </si>
  <si>
    <t>/api/auth/login</t>
  </si>
  <si>
    <t>No</t>
  </si>
  <si>
    <t>Public</t>
  </si>
  <si>
    <t>Admin account exists</t>
  </si>
  <si>
    <t>{"username":"admin","password":"123456"}</t>
  </si>
  <si>
    <t>200 OK</t>
  </si>
  <si>
    <t>Response success=true; token, username, fullName, role ADMIN are returned</t>
  </si>
  <si>
    <t>High</t>
  </si>
  <si>
    <t>Positive</t>
  </si>
  <si>
    <t>API-AUTH-002</t>
  </si>
  <si>
    <t>Login successfully with valid Staff credentials</t>
  </si>
  <si>
    <t>Staff account exists</t>
  </si>
  <si>
    <t>{"username":"staff","password":"123456"}</t>
  </si>
  <si>
    <t>Response success=true; token and role STAFF are returned</t>
  </si>
  <si>
    <t>API-AUTH-003</t>
  </si>
  <si>
    <t>Login fails with invalid username</t>
  </si>
  <si>
    <t>None</t>
  </si>
  <si>
    <t>{"username":"wronguser","password":"123456"}</t>
  </si>
  <si>
    <t>401 Unauthorized</t>
  </si>
  <si>
    <t>Response success=false and message is Invalid username or password</t>
  </si>
  <si>
    <t>Negative</t>
  </si>
  <si>
    <t>API-AUTH-004</t>
  </si>
  <si>
    <t>Login fails with invalid password</t>
  </si>
  <si>
    <t>{"username":"admin","password":"wrongpass"}</t>
  </si>
  <si>
    <t>API-AUTH-005</t>
  </si>
  <si>
    <t>Login fails when username is empty</t>
  </si>
  <si>
    <t>{"username":"","password":"123456"}</t>
  </si>
  <si>
    <t>400 Bad Request</t>
  </si>
  <si>
    <t>Validation error is returned for username</t>
  </si>
  <si>
    <t>Validation</t>
  </si>
  <si>
    <t>API-AUTH-006</t>
  </si>
  <si>
    <t>Login fails when password is empty</t>
  </si>
  <si>
    <t>{"username":"admin","password":""}</t>
  </si>
  <si>
    <t>Validation error is returned for password</t>
  </si>
  <si>
    <t>API-HEALTH-001</t>
  </si>
  <si>
    <t>Health check returns application status</t>
  </si>
  <si>
    <t>GET</t>
  </si>
  <si>
    <t>/api/health</t>
  </si>
  <si>
    <t>Application is running</t>
  </si>
  <si>
    <t>N/A</t>
  </si>
  <si>
    <t>Health response is returned successfully</t>
  </si>
  <si>
    <t>Medium</t>
  </si>
  <si>
    <t>API-PROD-001</t>
  </si>
  <si>
    <t>Get product list with valid Admin token</t>
  </si>
  <si>
    <t>/api/products</t>
  </si>
  <si>
    <t>Yes</t>
  </si>
  <si>
    <t>ADMIN</t>
  </si>
  <si>
    <t>Admin logged in</t>
  </si>
  <si>
    <t>Product list is returned with pagination data</t>
  </si>
  <si>
    <t>API-PROD-002</t>
  </si>
  <si>
    <t>Get product list with valid Staff token</t>
  </si>
  <si>
    <t>STAFF</t>
  </si>
  <si>
    <t>Staff logged in</t>
  </si>
  <si>
    <t>Product list is returned successfully</t>
  </si>
  <si>
    <t>API-PROD-003</t>
  </si>
  <si>
    <t>Get product list without token</t>
  </si>
  <si>
    <t>No token</t>
  </si>
  <si>
    <t>Unauthorized response is returned</t>
  </si>
  <si>
    <t>API-PROD-004</t>
  </si>
  <si>
    <t>Search product by keyword</t>
  </si>
  <si>
    <t>/api/products?keyword=Laptop</t>
  </si>
  <si>
    <t>ADMIN/STAFF</t>
  </si>
  <si>
    <t>Product data exists</t>
  </si>
  <si>
    <t>Only matching products are returned</t>
  </si>
  <si>
    <t>API-PROD-005</t>
  </si>
  <si>
    <t>Filter product by category</t>
  </si>
  <si>
    <t>/api/products?category=Laptop</t>
  </si>
  <si>
    <t>Products with category exist</t>
  </si>
  <si>
    <t>Products in selected category are returned</t>
  </si>
  <si>
    <t>API-PROD-006</t>
  </si>
  <si>
    <t>Filter product by status ACTIVE</t>
  </si>
  <si>
    <t>/api/products?status=ACTIVE</t>
  </si>
  <si>
    <t>Active products exist</t>
  </si>
  <si>
    <t>Only ACTIVE products are returned</t>
  </si>
  <si>
    <t>API-PROD-007</t>
  </si>
  <si>
    <t>Get product detail by existing id</t>
  </si>
  <si>
    <t>/api/products/1</t>
  </si>
  <si>
    <t>Product id 1 exists</t>
  </si>
  <si>
    <t>Product detail is returned</t>
  </si>
  <si>
    <t>API-PROD-008</t>
  </si>
  <si>
    <t>Get product detail by non-existing id</t>
  </si>
  <si>
    <t>/api/products/999999</t>
  </si>
  <si>
    <t>Product id does not exist</t>
  </si>
  <si>
    <t>404 Not Found</t>
  </si>
  <si>
    <t>Resource not found response is returned</t>
  </si>
  <si>
    <t>API-PROD-009</t>
  </si>
  <si>
    <t>Admin creates product with valid data</t>
  </si>
  <si>
    <t>Admin logged in; product name does not exist</t>
  </si>
  <si>
    <t>{"name":"Laptop Dell Inspiron","category":"Laptop","price":15000000,"quantity":10,"status":"ACTIVE"}</t>
  </si>
  <si>
    <t>200/201 Created</t>
  </si>
  <si>
    <t>Product is created and returned; database contains new product</t>
  </si>
  <si>
    <t>API-PROD-010</t>
  </si>
  <si>
    <t>Staff cannot create product</t>
  </si>
  <si>
    <t>{"name":"Staff Product","category":"Accessory","price":100000,"quantity":5,"status":"ACTIVE"}</t>
  </si>
  <si>
    <t>403 Forbidden</t>
  </si>
  <si>
    <t>Access denied response is returned</t>
  </si>
  <si>
    <t>Authorization</t>
  </si>
  <si>
    <t>API-PROD-011</t>
  </si>
  <si>
    <t>Create product fails without token</t>
  </si>
  <si>
    <t>{"name":"No Token Product","category":"Accessory","price":100000,"quantity":5,"status":"ACTIVE"}</t>
  </si>
  <si>
    <t>API-PROD-012</t>
  </si>
  <si>
    <t>Create product fails when name is empty</t>
  </si>
  <si>
    <t>{"name":"","category":"Laptop","price":15000000,"quantity":10,"status":"ACTIVE"}</t>
  </si>
  <si>
    <t>Validation error is returned for product name</t>
  </si>
  <si>
    <t>API-PROD-013</t>
  </si>
  <si>
    <t>Create product fails with duplicate name</t>
  </si>
  <si>
    <t>Product name already exists</t>
  </si>
  <si>
    <t>Duplicate product name is rejected</t>
  </si>
  <si>
    <t>Business Rule</t>
  </si>
  <si>
    <t>API-PROD-014</t>
  </si>
  <si>
    <t>Create product fails when category is empty</t>
  </si>
  <si>
    <t>{"name":"Product No Category","category":"","price":15000000,"quantity":10,"status":"ACTIVE"}</t>
  </si>
  <si>
    <t>Validation error is returned for category</t>
  </si>
  <si>
    <t>API-PROD-015</t>
  </si>
  <si>
    <t>Create product fails when price equals 0</t>
  </si>
  <si>
    <t>{"name":"Zero Price Product","category":"Laptop","price":0,"quantity":10,"status":"ACTIVE"}</t>
  </si>
  <si>
    <t>Price greater than 0 validation error is returned</t>
  </si>
  <si>
    <t>Boundary</t>
  </si>
  <si>
    <t>API-PROD-016</t>
  </si>
  <si>
    <t>Create product fails when price is negative</t>
  </si>
  <si>
    <t>{"name":"Negative Price Product","category":"Laptop","price":-1000,"quantity":10,"status":"ACTIVE"}</t>
  </si>
  <si>
    <t>API-PROD-017</t>
  </si>
  <si>
    <t>Create product succeeds when initial quantity equals 0</t>
  </si>
  <si>
    <t>Admin logged in; product name unique</t>
  </si>
  <si>
    <t>{"name":"Zero Quantity Product","category":"Accessory","price":100000,"quantity":0,"status":"ACTIVE"}</t>
  </si>
  <si>
    <t>Product is created with quantity 0</t>
  </si>
  <si>
    <t>API-PROD-018</t>
  </si>
  <si>
    <t>Create product fails when quantity is negative</t>
  </si>
  <si>
    <t>{"name":"Negative Quantity Product","category":"Accessory","price":100000,"quantity":-1,"status":"ACTIVE"}</t>
  </si>
  <si>
    <t>Quantity cannot be negative validation error is returned</t>
  </si>
  <si>
    <t>API-PROD-019</t>
  </si>
  <si>
    <t>Create product fails with invalid status</t>
  </si>
  <si>
    <t>{"name":"Invalid Status Product","category":"Accessory","price":100000,"quantity":5,"status":"UNKNOWN"}</t>
  </si>
  <si>
    <t>Invalid status error is returned</t>
  </si>
  <si>
    <t>API-PROD-020</t>
  </si>
  <si>
    <t>Admin updates product with valid data</t>
  </si>
  <si>
    <t>PUT</t>
  </si>
  <si>
    <t>{"name":"Laptop Dell Inspiron 15","category":"Laptop","price":16000000,"status":"ACTIVE"}</t>
  </si>
  <si>
    <t>Product is updated; quantity is not changed directly</t>
  </si>
  <si>
    <t>API-PROD-021</t>
  </si>
  <si>
    <t>Staff cannot update product</t>
  </si>
  <si>
    <t>{"name":"Staff Update","category":"Laptop","price":16000000,"status":"ACTIVE"}</t>
  </si>
  <si>
    <t>API-PROD-022</t>
  </si>
  <si>
    <t>Update product fails for non-existing id</t>
  </si>
  <si>
    <t>{"name":"Not Found","category":"Laptop","price":16000000,"status":"ACTIVE"}</t>
  </si>
  <si>
    <t>API-PROD-023</t>
  </si>
  <si>
    <t>Update product fails with duplicate product name</t>
  </si>
  <si>
    <t>Another product already has the new name</t>
  </si>
  <si>
    <t>{"name":"Existing Product Name","category":"Laptop","price":16000000,"status":"ACTIVE"}</t>
  </si>
  <si>
    <t>Duplicate name is rejected</t>
  </si>
  <si>
    <t>API-PROD-024</t>
  </si>
  <si>
    <t>Update product fails when price equals 0</t>
  </si>
  <si>
    <t>{"name":"Laptop Dell Inspiron","category":"Laptop","price":0,"status":"ACTIVE"}</t>
  </si>
  <si>
    <t>API-PROD-025</t>
  </si>
  <si>
    <t>Update product ignores/rejects direct quantity change</t>
  </si>
  <si>
    <t>{"name":"Laptop Dell Inspiron","category":"Laptop","price":16000000,"quantity":999,"status":"ACTIVE"}</t>
  </si>
  <si>
    <t>200 OK/400 Bad Request</t>
  </si>
  <si>
    <t>Quantity must not be changed directly by product update</t>
  </si>
  <si>
    <t>API-PROD-026</t>
  </si>
  <si>
    <t>Admin deletes product with quantity 0 and no transaction history</t>
  </si>
  <si>
    <t>DELETE</t>
  </si>
  <si>
    <t>/api/products/{deletableProductId}</t>
  </si>
  <si>
    <t>Product has quantity 0 and no stock history</t>
  </si>
  <si>
    <t>200 OK/204 No Content</t>
  </si>
  <si>
    <t>Product is deleted successfully</t>
  </si>
  <si>
    <t>API-PROD-027</t>
  </si>
  <si>
    <t>Staff cannot delete product</t>
  </si>
  <si>
    <t>Product exists</t>
  </si>
  <si>
    <t>API-PROD-028</t>
  </si>
  <si>
    <t>Delete product fails when quantity greater than 0</t>
  </si>
  <si>
    <t>Product quantity is greater than 0</t>
  </si>
  <si>
    <t>Cannot delete product because it has inventory quantity or transaction history</t>
  </si>
  <si>
    <t>API-PROD-029</t>
  </si>
  <si>
    <t>Delete product fails when product has stock-in history</t>
  </si>
  <si>
    <t>/api/products/{productWithStockInHistory}</t>
  </si>
  <si>
    <t>Product has stock-in history</t>
  </si>
  <si>
    <t>API-PROD-030</t>
  </si>
  <si>
    <t>Delete product fails when product has stock-out history</t>
  </si>
  <si>
    <t>/api/products/{productWithStockOutHistory}</t>
  </si>
  <si>
    <t>Product has stock-out history</t>
  </si>
  <si>
    <t>API-PROD-031</t>
  </si>
  <si>
    <t>Delete product fails for non-existing id</t>
  </si>
  <si>
    <t>API-STIN-001</t>
  </si>
  <si>
    <t>Admin creates stock-in transaction with valid data</t>
  </si>
  <si>
    <t>/api/stock-in</t>
  </si>
  <si>
    <t>Active product exists</t>
  </si>
  <si>
    <t>{"productId":1,"quantity":5,"note":"Import from supplier"}</t>
  </si>
  <si>
    <t>Stock-in transaction is created; product quantity increases by 5</t>
  </si>
  <si>
    <t>API-STIN-002</t>
  </si>
  <si>
    <t>Staff creates stock-in transaction with valid data</t>
  </si>
  <si>
    <t>Stock-in transaction is created; product quantity increases</t>
  </si>
  <si>
    <t>API-STIN-003</t>
  </si>
  <si>
    <t>Create stock-in fails without token</t>
  </si>
  <si>
    <t>API-STIN-004</t>
  </si>
  <si>
    <t>Create stock-in fails when product is missing</t>
  </si>
  <si>
    <t>{"quantity":5,"note":"Missing product"}</t>
  </si>
  <si>
    <t>Validation error is returned for productId</t>
  </si>
  <si>
    <t>API-STIN-005</t>
  </si>
  <si>
    <t>Create stock-in fails for non-existing product</t>
  </si>
  <si>
    <t>{"productId":999999,"quantity":5,"note":"Invalid product"}</t>
  </si>
  <si>
    <t>Product not found response is returned</t>
  </si>
  <si>
    <t>API-STIN-006</t>
  </si>
  <si>
    <t>Create stock-in fails for inactive product</t>
  </si>
  <si>
    <t>Inactive product exists</t>
  </si>
  <si>
    <t>{"productId":2,"quantity":5,"note":"Inactive product"}</t>
  </si>
  <si>
    <t>Inactive product cannot be used for stock-in</t>
  </si>
  <si>
    <t>API-STIN-007</t>
  </si>
  <si>
    <t>Create stock-in fails when quantity equals 0</t>
  </si>
  <si>
    <t>{"productId":1,"quantity":0,"note":"Zero quantity"}</t>
  </si>
  <si>
    <t>Stock-in quantity must be greater than 0</t>
  </si>
  <si>
    <t>API-STIN-008</t>
  </si>
  <si>
    <t>Create stock-in fails when quantity is negative</t>
  </si>
  <si>
    <t>{"productId":1,"quantity":-1,"note":"Negative quantity"}</t>
  </si>
  <si>
    <t>API-STIN-009</t>
  </si>
  <si>
    <t>Get stock-in history</t>
  </si>
  <si>
    <t>Stock-in data exists</t>
  </si>
  <si>
    <t>Stock-in history list is returned</t>
  </si>
  <si>
    <t>API-STIN-010</t>
  </si>
  <si>
    <t>Search stock-in history by product name</t>
  </si>
  <si>
    <t>/api/stock-in?productName=Laptop</t>
  </si>
  <si>
    <t>Matching stock-in history records are returned</t>
  </si>
  <si>
    <t>API-STIN-011</t>
  </si>
  <si>
    <t>Filter stock-in history by date range</t>
  </si>
  <si>
    <t>/api/stock-in?fromDate=2026-06-01&amp;toDate=2026-06-30</t>
  </si>
  <si>
    <t>Stock-in records within date range are returned</t>
  </si>
  <si>
    <t>API-STIN-012</t>
  </si>
  <si>
    <t>Get stock-in detail by existing id</t>
  </si>
  <si>
    <t>/api/stock-in/1</t>
  </si>
  <si>
    <t>Stock-in id exists</t>
  </si>
  <si>
    <t>Stock-in detail is returned</t>
  </si>
  <si>
    <t>API-STIN-013</t>
  </si>
  <si>
    <t>Get stock-in detail by non-existing id</t>
  </si>
  <si>
    <t>/api/stock-in/999999</t>
  </si>
  <si>
    <t>Stock-in id does not exist</t>
  </si>
  <si>
    <t>API-STOUT-001</t>
  </si>
  <si>
    <t>Admin creates stock-out transaction with valid data</t>
  </si>
  <si>
    <t>/api/stock-out</t>
  </si>
  <si>
    <t>Active product has enough quantity</t>
  </si>
  <si>
    <t>{"productId":1,"quantity":3,"reason":"Sold to customer"}</t>
  </si>
  <si>
    <t>Stock-out transaction is created; product quantity decreases by 3</t>
  </si>
  <si>
    <t>API-STOUT-002</t>
  </si>
  <si>
    <t>Staff creates stock-out transaction with valid data</t>
  </si>
  <si>
    <t>Stock-out transaction is created; product quantity decreases</t>
  </si>
  <si>
    <t>API-STOUT-003</t>
  </si>
  <si>
    <t>Create stock-out fails without token</t>
  </si>
  <si>
    <t>API-STOUT-004</t>
  </si>
  <si>
    <t>Create stock-out fails when product is missing</t>
  </si>
  <si>
    <t>{"quantity":3,"reason":"Missing product"}</t>
  </si>
  <si>
    <t>API-STOUT-005</t>
  </si>
  <si>
    <t>Create stock-out fails for non-existing product</t>
  </si>
  <si>
    <t>{"productId":999999,"quantity":3,"reason":"Invalid product"}</t>
  </si>
  <si>
    <t>API-STOUT-006</t>
  </si>
  <si>
    <t>Create stock-out fails for inactive product</t>
  </si>
  <si>
    <t>{"productId":2,"quantity":3,"reason":"Inactive product"}</t>
  </si>
  <si>
    <t>Inactive product cannot be used for stock-out</t>
  </si>
  <si>
    <t>API-STOUT-007</t>
  </si>
  <si>
    <t>Create stock-out fails when quantity equals 0</t>
  </si>
  <si>
    <t>{"productId":1,"quantity":0,"reason":"Zero quantity"}</t>
  </si>
  <si>
    <t>Stock-out quantity must be greater than 0</t>
  </si>
  <si>
    <t>API-STOUT-008</t>
  </si>
  <si>
    <t>Create stock-out fails when quantity is negative</t>
  </si>
  <si>
    <t>{"productId":1,"quantity":-1,"reason":"Negative quantity"}</t>
  </si>
  <si>
    <t>API-STOUT-009</t>
  </si>
  <si>
    <t>Create stock-out fails when quantity exceeds current inventory</t>
  </si>
  <si>
    <t>Product quantity is 3</t>
  </si>
  <si>
    <t>{"productId":1,"quantity":5,"reason":"Exceed inventory"}</t>
  </si>
  <si>
    <t>Stock-out quantity cannot exceed current inventory quantity</t>
  </si>
  <si>
    <t>API-STOUT-010</t>
  </si>
  <si>
    <t>Create stock-out succeeds when quantity equals current inventory</t>
  </si>
  <si>
    <t>Product quantity is 5</t>
  </si>
  <si>
    <t>{"productId":1,"quantity":5,"reason":"Sell all stock"}</t>
  </si>
  <si>
    <t>Stock-out is created and product quantity becomes 0</t>
  </si>
  <si>
    <t>API-STOUT-011</t>
  </si>
  <si>
    <t>Get stock-out history</t>
  </si>
  <si>
    <t>Stock-out data exists</t>
  </si>
  <si>
    <t>Stock-out history list is returned</t>
  </si>
  <si>
    <t>API-STOUT-012</t>
  </si>
  <si>
    <t>Search stock-out history by product name</t>
  </si>
  <si>
    <t>/api/stock-out?productName=Laptop</t>
  </si>
  <si>
    <t>Matching stock-out history records are returned</t>
  </si>
  <si>
    <t>API-STOUT-013</t>
  </si>
  <si>
    <t>Filter stock-out history by date range</t>
  </si>
  <si>
    <t>/api/stock-out?fromDate=2026-06-01&amp;toDate=2026-06-30</t>
  </si>
  <si>
    <t>Stock-out records within date range are returned</t>
  </si>
  <si>
    <t>API-STOUT-014</t>
  </si>
  <si>
    <t>Get stock-out detail by existing id</t>
  </si>
  <si>
    <t>/api/stock-out/1</t>
  </si>
  <si>
    <t>Stock-out id exists</t>
  </si>
  <si>
    <t>Stock-out detail is returned</t>
  </si>
  <si>
    <t>API-STOUT-015</t>
  </si>
  <si>
    <t>Get stock-out detail by non-existing id</t>
  </si>
  <si>
    <t>/api/stock-out/999999</t>
  </si>
  <si>
    <t>Stock-out id does not exist</t>
  </si>
  <si>
    <t>API-DASH-001</t>
  </si>
  <si>
    <t>Get dashboard summary with Admin token</t>
  </si>
  <si>
    <t>/api/dashboard/summary</t>
  </si>
  <si>
    <t>Dashboard summary data is returned</t>
  </si>
  <si>
    <t>API-DASH-002</t>
  </si>
  <si>
    <t>Get dashboard summary with Staff token</t>
  </si>
  <si>
    <t>API-DASH-003</t>
  </si>
  <si>
    <t>Get dashboard summary without token</t>
  </si>
  <si>
    <t>API-DASH-004</t>
  </si>
  <si>
    <t>Verify low-stock and out-of-stock count rules</t>
  </si>
  <si>
    <t>Products with quantities 0, 1, 10, 11 exist</t>
  </si>
  <si>
    <t>Low-stock count includes quantity 1-10; out-of-stock count includes quantity 0</t>
  </si>
  <si>
    <t>API-REP-001</t>
  </si>
  <si>
    <t>Get inventory report with Admin token</t>
  </si>
  <si>
    <t>/api/inventory/report</t>
  </si>
  <si>
    <t>Inventory report is returned</t>
  </si>
  <si>
    <t>API-REP-002</t>
  </si>
  <si>
    <t>Get inventory report with Staff token</t>
  </si>
  <si>
    <t>API-REP-003</t>
  </si>
  <si>
    <t>Get inventory report without token</t>
  </si>
  <si>
    <t>API-REP-004</t>
  </si>
  <si>
    <t>Filter inventory report by category</t>
  </si>
  <si>
    <t>/api/inventory/report?category=Laptop</t>
  </si>
  <si>
    <t>Laptop products exist</t>
  </si>
  <si>
    <t>Only products in selected category are returned</t>
  </si>
  <si>
    <t>API-REP-005</t>
  </si>
  <si>
    <t>Filter inventory report by stockStatus IN_STOCK</t>
  </si>
  <si>
    <t>/api/inventory/report?stockStatus=IN_STOCK</t>
  </si>
  <si>
    <t>Products with quantity &gt; 10 exist</t>
  </si>
  <si>
    <t>Only IN_STOCK products are returned</t>
  </si>
  <si>
    <t>API-REP-006</t>
  </si>
  <si>
    <t>Filter inventory report by stockStatus LOW_STOCK</t>
  </si>
  <si>
    <t>/api/inventory/report?stockStatus=LOW_STOCK</t>
  </si>
  <si>
    <t>Products with quantity 1-10 exist</t>
  </si>
  <si>
    <t>Only LOW_STOCK products are returned</t>
  </si>
  <si>
    <t>API-REP-007</t>
  </si>
  <si>
    <t>Filter inventory report by stockStatus OUT_OF_STOCK</t>
  </si>
  <si>
    <t>/api/inventory/report?stockStatus=OUT_OF_STOCK</t>
  </si>
  <si>
    <t>Products with quantity 0 exist</t>
  </si>
  <si>
    <t>Only OUT_OF_STOCK products are returned</t>
  </si>
  <si>
    <t>API-REP-008</t>
  </si>
  <si>
    <t>Get inventory report with invalid stockStatus</t>
  </si>
  <si>
    <t>/api/inventory/report?stockStatus=INVALID</t>
  </si>
  <si>
    <t>User logged in</t>
  </si>
  <si>
    <t>Invalid stockStatus error is returned</t>
  </si>
  <si>
    <t>API-GEN-001</t>
  </si>
  <si>
    <t>Verify standard success response format</t>
  </si>
  <si>
    <t>Response contains success, message, data, timestamp</t>
  </si>
  <si>
    <t>API-GEN-002</t>
  </si>
  <si>
    <t>Verify standard error response format</t>
  </si>
  <si>
    <t>Invalid resource id</t>
  </si>
  <si>
    <t>Error response contains success=false, message, data=null, timestamp</t>
  </si>
  <si>
    <t>Checklist ID</t>
  </si>
  <si>
    <t>Area</t>
  </si>
  <si>
    <t>Checklist Item</t>
  </si>
  <si>
    <t>Status</t>
  </si>
  <si>
    <t>CHK-API-001</t>
  </si>
  <si>
    <t>Verify valid login returns JWT token</t>
  </si>
  <si>
    <t>Token is returned in response data</t>
  </si>
  <si>
    <t>CHK-API-002</t>
  </si>
  <si>
    <t>Verify invalid login does not reveal whether username or password is wrong</t>
  </si>
  <si>
    <t>Generic invalid username or password message is returned</t>
  </si>
  <si>
    <t>CHK-API-003</t>
  </si>
  <si>
    <t>Verify protected APIs require Authorization Bearer token</t>
  </si>
  <si>
    <t>401 Unauthorized when token is missing or invalid</t>
  </si>
  <si>
    <t>CHK-API-004</t>
  </si>
  <si>
    <t>Verify Staff cannot call Admin-only product APIs</t>
  </si>
  <si>
    <t>403 Forbidden is returned</t>
  </si>
  <si>
    <t>CHK-API-005</t>
  </si>
  <si>
    <t>Response Format</t>
  </si>
  <si>
    <t>Verify success response follows standard format</t>
  </si>
  <si>
    <t>CHK-API-006</t>
  </si>
  <si>
    <t>Verify error response follows standard format</t>
  </si>
  <si>
    <t>Response contains success=false, message, data=null, timestamp</t>
  </si>
  <si>
    <t>CHK-API-007</t>
  </si>
  <si>
    <t>Product</t>
  </si>
  <si>
    <t>Verify product name uniqueness</t>
  </si>
  <si>
    <t>Duplicate product is rejected</t>
  </si>
  <si>
    <t>CHK-API-008</t>
  </si>
  <si>
    <t>Verify price validation</t>
  </si>
  <si>
    <t>Price 0 or negative is rejected</t>
  </si>
  <si>
    <t>CHK-API-009</t>
  </si>
  <si>
    <t>Verify quantity validation</t>
  </si>
  <si>
    <t>Negative quantity is rejected</t>
  </si>
  <si>
    <t>CHK-API-010</t>
  </si>
  <si>
    <t>Verify delete product business rules</t>
  </si>
  <si>
    <t>Product with quantity/history cannot be deleted</t>
  </si>
  <si>
    <t>CHK-API-011</t>
  </si>
  <si>
    <t>Verify stock-in increases product quantity</t>
  </si>
  <si>
    <t>Quantity increases by stock-in amount</t>
  </si>
  <si>
    <t>CHK-API-012</t>
  </si>
  <si>
    <t>Verify inactive product cannot be used for stock-in</t>
  </si>
  <si>
    <t>Request is rejected</t>
  </si>
  <si>
    <t>CHK-API-013</t>
  </si>
  <si>
    <t>Verify stock-out decreases product quantity</t>
  </si>
  <si>
    <t>Quantity decreases by stock-out amount</t>
  </si>
  <si>
    <t>CHK-API-014</t>
  </si>
  <si>
    <t>Verify stock-out cannot exceed current stock</t>
  </si>
  <si>
    <t>Request is rejected and quantity is unchanged</t>
  </si>
  <si>
    <t>CHK-API-015</t>
  </si>
  <si>
    <t>Verify stock-out equal current stock is allowed</t>
  </si>
  <si>
    <t>Product quantity becomes 0</t>
  </si>
  <si>
    <t>CHK-API-016</t>
  </si>
  <si>
    <t>Verify dashboard summary count rules</t>
  </si>
  <si>
    <t>Low stock 1-10 and out-of-stock 0 are calculated correctly</t>
  </si>
  <si>
    <t>CHK-API-017</t>
  </si>
  <si>
    <t>Verify stock status filter</t>
  </si>
  <si>
    <t>IN_STOCK, LOW_STOCK, OUT_OF_STOCK filters work</t>
  </si>
  <si>
    <t>CHK-API-018</t>
  </si>
  <si>
    <t>History</t>
  </si>
  <si>
    <t>Verify transaction history detail API</t>
  </si>
  <si>
    <t>Correct transaction detail is returned</t>
  </si>
  <si>
    <t>Data ID</t>
  </si>
  <si>
    <t>Data Type</t>
  </si>
  <si>
    <t>Name / Value</t>
  </si>
  <si>
    <t>Description</t>
  </si>
  <si>
    <t>Expected Usage</t>
  </si>
  <si>
    <t>TD-ACC-001</t>
  </si>
  <si>
    <t>Account</t>
  </si>
  <si>
    <t>admin / 123456</t>
  </si>
  <si>
    <t>Admin account seeded by backend</t>
  </si>
  <si>
    <t>Login and Admin authorization tests</t>
  </si>
  <si>
    <t>TD-ACC-002</t>
  </si>
  <si>
    <t>staff / 123456</t>
  </si>
  <si>
    <t>Staff account seeded by backend</t>
  </si>
  <si>
    <t>Login and Staff authorization tests</t>
  </si>
  <si>
    <t>TD-PROD-001</t>
  </si>
  <si>
    <t>Laptop Dell Inspiron</t>
  </si>
  <si>
    <t>Valid active product with quantity &gt; 10</t>
  </si>
  <si>
    <t>Create, update, stock-in, stock-out tests</t>
  </si>
  <si>
    <t>TD-PROD-002</t>
  </si>
  <si>
    <t>Zero Quantity Product</t>
  </si>
  <si>
    <t>Product with quantity = 0</t>
  </si>
  <si>
    <t>Delete product and OUT_OF_STOCK tests</t>
  </si>
  <si>
    <t>TD-PROD-003</t>
  </si>
  <si>
    <t>Low Stock Product</t>
  </si>
  <si>
    <t>Product with quantity from 1 to 10</t>
  </si>
  <si>
    <t>LOW_STOCK dashboard/report tests</t>
  </si>
  <si>
    <t>TD-PROD-004</t>
  </si>
  <si>
    <t>Inactive Product</t>
  </si>
  <si>
    <t>Product with INACTIVE status</t>
  </si>
  <si>
    <t>Stock-in/out inactive product tests</t>
  </si>
  <si>
    <t>TD-QTY-001</t>
  </si>
  <si>
    <t>Quantity</t>
  </si>
  <si>
    <t>0</t>
  </si>
  <si>
    <t>Boundary invalid value for stock-in/out; valid initial quantity for product</t>
  </si>
  <si>
    <t>Validation and boundary tests</t>
  </si>
  <si>
    <t>TD-QTY-002</t>
  </si>
  <si>
    <t>-1</t>
  </si>
  <si>
    <t>Invalid negative quantity</t>
  </si>
  <si>
    <t>Validation tests</t>
  </si>
  <si>
    <t>TD-QTY-003</t>
  </si>
  <si>
    <t>Current stock + 1</t>
  </si>
  <si>
    <t>Invalid stock-out quantity that exceeds current inventory</t>
  </si>
  <si>
    <t>Stock-out business rule tests</t>
  </si>
  <si>
    <t>TD-PRICE-001</t>
  </si>
  <si>
    <t>Price</t>
  </si>
  <si>
    <t>Invalid product price boundary</t>
  </si>
  <si>
    <t>Product validation tests</t>
  </si>
  <si>
    <t>TD-PRICE-002</t>
  </si>
  <si>
    <t>-1000</t>
  </si>
  <si>
    <t>Invalid negative product price</t>
  </si>
  <si>
    <t>TD-STATUS-001</t>
  </si>
  <si>
    <t>ACTIVE</t>
  </si>
  <si>
    <t>Product can be used in stock transactions</t>
  </si>
  <si>
    <t>Product and transaction tests</t>
  </si>
  <si>
    <t>TD-STATUS-002</t>
  </si>
  <si>
    <t>INACTIVE</t>
  </si>
  <si>
    <t>Product cannot be used in new stock transactions</t>
  </si>
  <si>
    <t>Business rule tests</t>
  </si>
  <si>
    <t>Low</t>
  </si>
  <si>
    <t>Blocked</t>
  </si>
  <si>
    <t>Data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</si>
</sst>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5">
    <dxf>
      <fill>
        <patternFill patternType="solid">
          <bgColor rgb="FFE5E7EB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3" name="ApiSummaryMetrics" displayName="ApiSummaryMetrics" ref="A3:B10"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ApiModuleCounts" displayName="ApiModuleCounts" ref="D3:E12">
  <tableColumns count="2">
    <tableColumn id="1" name="Module"/>
    <tableColumn id="2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ApiTestCasesTable" displayName="ApiTestCasesTable" ref="A1:O81">
  <tableColumns count="15">
    <tableColumn id="1" name="Test Case ID"/>
    <tableColumn id="2" name="Module"/>
    <tableColumn id="3" name="Test Scenario"/>
    <tableColumn id="4" name="Method"/>
    <tableColumn id="5" name="Endpoint"/>
    <tableColumn id="6" name="Auth Required"/>
    <tableColumn id="7" name="Role"/>
    <tableColumn id="8" name="Preconditions"/>
    <tableColumn id="9" name="Request Body / Params"/>
    <tableColumn id="10" name="Expected Status"/>
    <tableColumn id="11" name="Expected Result"/>
    <tableColumn id="12" name="Priority"/>
    <tableColumn id="13" name="Test Type"/>
    <tableColumn id="14" name="Execution Status"/>
    <tableColumn id="15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ApiChecklistTable" displayName="ApiChecklistTable" ref="A1:F19">
  <tableColumns count="6">
    <tableColumn id="1" name="Checklist ID"/>
    <tableColumn id="2" name="Area"/>
    <tableColumn id="3" name="Checklist Item"/>
    <tableColumn id="4" name="Expected Resul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ApiTestDataTable" displayName="ApiTestDataTable" ref="A1:E14">
  <tableColumns count="5">
    <tableColumn id="1" name="Data ID"/>
    <tableColumn id="2" name="Data Type"/>
    <tableColumn id="3" name="Name / Value"/>
    <tableColumn id="4" name="Description"/>
    <tableColumn id="5" name="Expected Us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" name="ApiListsTable" displayName="ApiListsTable" ref="A1:E9">
  <tableColumns count="5">
    <tableColumn id="1" name="Status"/>
    <tableColumn id="2" name="Priority"/>
    <tableColumn id="3" name="Method"/>
    <tableColumn id="4" name="Test Type"/>
    <tableColumn id="5" name="Mod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sqref="A1:F1"/>
    </sheetView>
  </sheetViews>
  <sheetFormatPr defaultRowHeight="14.25"/>
  <cols>
    <col min="1" max="2" width="26" customWidth="1"/>
    <col min="4" max="5" width="24" customWidth="1"/>
  </cols>
  <sheetData>
    <row r="1" spans="1:6" ht="19.149999999999999" customHeight="1">
      <c r="A1" s="8" t="s">
        <v>0</v>
      </c>
      <c r="B1" s="9"/>
      <c r="C1" s="9"/>
      <c r="D1" s="9"/>
      <c r="E1" s="9"/>
      <c r="F1" s="9"/>
    </row>
    <row r="3" spans="1:6" ht="15" customHeight="1">
      <c r="A3" s="7" t="s">
        <v>1</v>
      </c>
      <c r="B3" s="7" t="s">
        <v>2</v>
      </c>
      <c r="D3" s="7" t="s">
        <v>3</v>
      </c>
      <c r="E3" s="7" t="s">
        <v>4</v>
      </c>
    </row>
    <row r="4" spans="1:6" ht="15" customHeight="1">
      <c r="A4" t="s">
        <v>5</v>
      </c>
      <c r="B4" s="2">
        <f>COUNTA('API Test Cases'!A2:A81)</f>
        <v>80</v>
      </c>
      <c r="D4" t="s">
        <v>6</v>
      </c>
      <c r="E4" s="2">
        <f>COUNTIF('API Test Cases'!B2:B81,"Authentication")</f>
        <v>8</v>
      </c>
    </row>
    <row r="5" spans="1:6" ht="15" customHeight="1">
      <c r="A5" t="s">
        <v>7</v>
      </c>
      <c r="B5" s="2">
        <f>COUNTIF('API Test Cases'!L2:L81,"High")</f>
        <v>57</v>
      </c>
      <c r="D5" t="s">
        <v>8</v>
      </c>
      <c r="E5" s="2">
        <f>COUNTIF('API Test Cases'!B2:B81,"Health")</f>
        <v>1</v>
      </c>
    </row>
    <row r="6" spans="1:6" ht="15" customHeight="1">
      <c r="A6" t="s">
        <v>9</v>
      </c>
      <c r="B6" s="2">
        <f>COUNTIF('API Test Cases'!L2:L81,"Medium")</f>
        <v>23</v>
      </c>
      <c r="D6" t="s">
        <v>10</v>
      </c>
      <c r="E6" s="2">
        <f>COUNTIF('API Test Cases'!B2:B81,"Product Management")</f>
        <v>31</v>
      </c>
    </row>
    <row r="7" spans="1:6" ht="15" customHeight="1">
      <c r="A7" t="s">
        <v>11</v>
      </c>
      <c r="B7" s="2">
        <f>COUNTIF('API Test Cases'!L2:L81,"Low")</f>
        <v>0</v>
      </c>
      <c r="D7" t="s">
        <v>12</v>
      </c>
      <c r="E7" s="2">
        <f>COUNTIF('API Test Cases'!B2:B81,"Stock-In")</f>
        <v>13</v>
      </c>
    </row>
    <row r="8" spans="1:6" ht="15" customHeight="1">
      <c r="A8" t="s">
        <v>13</v>
      </c>
      <c r="B8" s="2">
        <f>COUNTIF('API Test Cases'!N2:N81,"Not Run")</f>
        <v>80</v>
      </c>
      <c r="D8" t="s">
        <v>14</v>
      </c>
      <c r="E8" s="2">
        <f>COUNTIF('API Test Cases'!B2:B81,"Stock-Out")</f>
        <v>15</v>
      </c>
    </row>
    <row r="9" spans="1:6" ht="15" customHeight="1">
      <c r="A9" t="s">
        <v>15</v>
      </c>
      <c r="B9" s="2">
        <f>COUNTIF('API Test Cases'!N2:N81,"Pass")</f>
        <v>0</v>
      </c>
      <c r="D9" t="s">
        <v>16</v>
      </c>
      <c r="E9" s="2">
        <f>COUNTIF('API Test Cases'!B2:B81,"Dashboard")</f>
        <v>4</v>
      </c>
    </row>
    <row r="10" spans="1:6" ht="15" customHeight="1">
      <c r="A10" t="s">
        <v>17</v>
      </c>
      <c r="B10" s="2">
        <f>COUNTIF('API Test Cases'!N2:N81,"Fail")</f>
        <v>0</v>
      </c>
      <c r="D10" t="s">
        <v>18</v>
      </c>
      <c r="E10" s="2">
        <f>COUNTIF('API Test Cases'!B2:B81,"Inventory Report")</f>
        <v>8</v>
      </c>
    </row>
    <row r="11" spans="1:6" ht="15" customHeight="1">
      <c r="D11" t="s">
        <v>19</v>
      </c>
      <c r="E11" s="2">
        <f>COUNTIF('API Test Cases'!B2:B81,"Role-Based Access")</f>
        <v>0</v>
      </c>
    </row>
    <row r="12" spans="1:6" ht="15" customHeight="1">
      <c r="E12" s="2"/>
    </row>
  </sheetData>
  <mergeCells count="1">
    <mergeCell ref="A1:F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workbookViewId="0"/>
  </sheetViews>
  <sheetFormatPr defaultRowHeight="14.25"/>
  <cols>
    <col min="1" max="1" width="16" customWidth="1"/>
    <col min="2" max="2" width="20" customWidth="1"/>
    <col min="3" max="3" width="42" customWidth="1"/>
    <col min="4" max="4" width="10" customWidth="1"/>
    <col min="5" max="5" width="36" customWidth="1"/>
    <col min="6" max="7" width="13" customWidth="1"/>
    <col min="8" max="8" width="34" customWidth="1"/>
    <col min="9" max="9" width="48" customWidth="1"/>
    <col min="10" max="10" width="18" customWidth="1"/>
    <col min="11" max="11" width="52" customWidth="1"/>
    <col min="12" max="12" width="12" customWidth="1"/>
    <col min="13" max="13" width="18" customWidth="1"/>
    <col min="14" max="14" width="16" customWidth="1"/>
    <col min="15" max="15" width="30" customWidth="1"/>
  </cols>
  <sheetData>
    <row r="1" spans="1:15" ht="15" customHeight="1">
      <c r="A1" s="3" t="s">
        <v>20</v>
      </c>
      <c r="B1" s="3" t="s">
        <v>3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</row>
    <row r="2" spans="1:15" ht="26.45" customHeight="1">
      <c r="A2" s="4" t="s">
        <v>34</v>
      </c>
      <c r="B2" s="5" t="s">
        <v>6</v>
      </c>
      <c r="C2" s="6" t="s">
        <v>35</v>
      </c>
      <c r="D2" s="4" t="s">
        <v>36</v>
      </c>
      <c r="E2" s="5" t="s">
        <v>37</v>
      </c>
      <c r="F2" s="4" t="s">
        <v>38</v>
      </c>
      <c r="G2" s="4" t="s">
        <v>39</v>
      </c>
      <c r="H2" s="6" t="s">
        <v>40</v>
      </c>
      <c r="I2" s="6" t="s">
        <v>41</v>
      </c>
      <c r="J2" s="4" t="s">
        <v>42</v>
      </c>
      <c r="K2" s="6" t="s">
        <v>43</v>
      </c>
      <c r="L2" s="4" t="s">
        <v>44</v>
      </c>
      <c r="M2" s="4" t="s">
        <v>45</v>
      </c>
      <c r="N2" s="4" t="s">
        <v>13</v>
      </c>
      <c r="O2" s="6"/>
    </row>
    <row r="3" spans="1:15" ht="15" customHeight="1">
      <c r="A3" s="4" t="s">
        <v>46</v>
      </c>
      <c r="B3" s="5" t="s">
        <v>6</v>
      </c>
      <c r="C3" s="6" t="s">
        <v>47</v>
      </c>
      <c r="D3" s="4" t="s">
        <v>36</v>
      </c>
      <c r="E3" s="5" t="s">
        <v>37</v>
      </c>
      <c r="F3" s="4" t="s">
        <v>38</v>
      </c>
      <c r="G3" s="4" t="s">
        <v>39</v>
      </c>
      <c r="H3" s="6" t="s">
        <v>48</v>
      </c>
      <c r="I3" s="6" t="s">
        <v>49</v>
      </c>
      <c r="J3" s="4" t="s">
        <v>42</v>
      </c>
      <c r="K3" s="6" t="s">
        <v>50</v>
      </c>
      <c r="L3" s="4" t="s">
        <v>44</v>
      </c>
      <c r="M3" s="4" t="s">
        <v>45</v>
      </c>
      <c r="N3" s="4" t="s">
        <v>13</v>
      </c>
      <c r="O3" s="6"/>
    </row>
    <row r="4" spans="1:15" ht="26.45" customHeight="1">
      <c r="A4" s="4" t="s">
        <v>51</v>
      </c>
      <c r="B4" s="5" t="s">
        <v>6</v>
      </c>
      <c r="C4" s="6" t="s">
        <v>52</v>
      </c>
      <c r="D4" s="4" t="s">
        <v>36</v>
      </c>
      <c r="E4" s="5" t="s">
        <v>37</v>
      </c>
      <c r="F4" s="4" t="s">
        <v>38</v>
      </c>
      <c r="G4" s="4" t="s">
        <v>39</v>
      </c>
      <c r="H4" s="6" t="s">
        <v>53</v>
      </c>
      <c r="I4" s="6" t="s">
        <v>54</v>
      </c>
      <c r="J4" s="4" t="s">
        <v>55</v>
      </c>
      <c r="K4" s="6" t="s">
        <v>56</v>
      </c>
      <c r="L4" s="4" t="s">
        <v>44</v>
      </c>
      <c r="M4" s="4" t="s">
        <v>57</v>
      </c>
      <c r="N4" s="4" t="s">
        <v>13</v>
      </c>
      <c r="O4" s="6"/>
    </row>
    <row r="5" spans="1:15" ht="26.45" customHeight="1">
      <c r="A5" s="4" t="s">
        <v>58</v>
      </c>
      <c r="B5" s="5" t="s">
        <v>6</v>
      </c>
      <c r="C5" s="6" t="s">
        <v>59</v>
      </c>
      <c r="D5" s="4" t="s">
        <v>36</v>
      </c>
      <c r="E5" s="5" t="s">
        <v>37</v>
      </c>
      <c r="F5" s="4" t="s">
        <v>38</v>
      </c>
      <c r="G5" s="4" t="s">
        <v>39</v>
      </c>
      <c r="H5" s="6" t="s">
        <v>53</v>
      </c>
      <c r="I5" s="6" t="s">
        <v>60</v>
      </c>
      <c r="J5" s="4" t="s">
        <v>55</v>
      </c>
      <c r="K5" s="6" t="s">
        <v>56</v>
      </c>
      <c r="L5" s="4" t="s">
        <v>44</v>
      </c>
      <c r="M5" s="4" t="s">
        <v>57</v>
      </c>
      <c r="N5" s="4" t="s">
        <v>13</v>
      </c>
      <c r="O5" s="6"/>
    </row>
    <row r="6" spans="1:15" ht="15" customHeight="1">
      <c r="A6" s="4" t="s">
        <v>61</v>
      </c>
      <c r="B6" s="5" t="s">
        <v>6</v>
      </c>
      <c r="C6" s="6" t="s">
        <v>62</v>
      </c>
      <c r="D6" s="4" t="s">
        <v>36</v>
      </c>
      <c r="E6" s="5" t="s">
        <v>37</v>
      </c>
      <c r="F6" s="4" t="s">
        <v>38</v>
      </c>
      <c r="G6" s="4" t="s">
        <v>39</v>
      </c>
      <c r="H6" s="6" t="s">
        <v>53</v>
      </c>
      <c r="I6" s="6" t="s">
        <v>63</v>
      </c>
      <c r="J6" s="4" t="s">
        <v>64</v>
      </c>
      <c r="K6" s="6" t="s">
        <v>65</v>
      </c>
      <c r="L6" s="4" t="s">
        <v>44</v>
      </c>
      <c r="M6" s="4" t="s">
        <v>66</v>
      </c>
      <c r="N6" s="4" t="s">
        <v>13</v>
      </c>
      <c r="O6" s="6"/>
    </row>
    <row r="7" spans="1:15" ht="15" customHeight="1">
      <c r="A7" s="4" t="s">
        <v>67</v>
      </c>
      <c r="B7" s="5" t="s">
        <v>6</v>
      </c>
      <c r="C7" s="6" t="s">
        <v>68</v>
      </c>
      <c r="D7" s="4" t="s">
        <v>36</v>
      </c>
      <c r="E7" s="5" t="s">
        <v>37</v>
      </c>
      <c r="F7" s="4" t="s">
        <v>38</v>
      </c>
      <c r="G7" s="4" t="s">
        <v>39</v>
      </c>
      <c r="H7" s="6" t="s">
        <v>53</v>
      </c>
      <c r="I7" s="6" t="s">
        <v>69</v>
      </c>
      <c r="J7" s="4" t="s">
        <v>64</v>
      </c>
      <c r="K7" s="6" t="s">
        <v>70</v>
      </c>
      <c r="L7" s="4" t="s">
        <v>44</v>
      </c>
      <c r="M7" s="4" t="s">
        <v>66</v>
      </c>
      <c r="N7" s="4" t="s">
        <v>13</v>
      </c>
      <c r="O7" s="6"/>
    </row>
    <row r="8" spans="1:15" ht="15" customHeight="1">
      <c r="A8" s="4" t="s">
        <v>71</v>
      </c>
      <c r="B8" s="5" t="s">
        <v>8</v>
      </c>
      <c r="C8" s="6" t="s">
        <v>72</v>
      </c>
      <c r="D8" s="4" t="s">
        <v>73</v>
      </c>
      <c r="E8" s="5" t="s">
        <v>74</v>
      </c>
      <c r="F8" s="4" t="s">
        <v>38</v>
      </c>
      <c r="G8" s="4" t="s">
        <v>39</v>
      </c>
      <c r="H8" s="6" t="s">
        <v>75</v>
      </c>
      <c r="I8" s="6" t="s">
        <v>76</v>
      </c>
      <c r="J8" s="4" t="s">
        <v>42</v>
      </c>
      <c r="K8" s="6" t="s">
        <v>77</v>
      </c>
      <c r="L8" s="4" t="s">
        <v>78</v>
      </c>
      <c r="M8" s="4" t="s">
        <v>45</v>
      </c>
      <c r="N8" s="4" t="s">
        <v>13</v>
      </c>
      <c r="O8" s="6"/>
    </row>
    <row r="9" spans="1:15" ht="15" customHeight="1">
      <c r="A9" s="4" t="s">
        <v>79</v>
      </c>
      <c r="B9" s="5" t="s">
        <v>10</v>
      </c>
      <c r="C9" s="6" t="s">
        <v>80</v>
      </c>
      <c r="D9" s="4" t="s">
        <v>73</v>
      </c>
      <c r="E9" s="5" t="s">
        <v>81</v>
      </c>
      <c r="F9" s="4" t="s">
        <v>82</v>
      </c>
      <c r="G9" s="4" t="s">
        <v>83</v>
      </c>
      <c r="H9" s="6" t="s">
        <v>84</v>
      </c>
      <c r="I9" s="6" t="s">
        <v>76</v>
      </c>
      <c r="J9" s="4" t="s">
        <v>42</v>
      </c>
      <c r="K9" s="6" t="s">
        <v>85</v>
      </c>
      <c r="L9" s="4" t="s">
        <v>44</v>
      </c>
      <c r="M9" s="4" t="s">
        <v>45</v>
      </c>
      <c r="N9" s="4" t="s">
        <v>13</v>
      </c>
      <c r="O9" s="6"/>
    </row>
    <row r="10" spans="1:15" ht="15" customHeight="1">
      <c r="A10" s="4" t="s">
        <v>86</v>
      </c>
      <c r="B10" s="5" t="s">
        <v>10</v>
      </c>
      <c r="C10" s="6" t="s">
        <v>87</v>
      </c>
      <c r="D10" s="4" t="s">
        <v>73</v>
      </c>
      <c r="E10" s="5" t="s">
        <v>81</v>
      </c>
      <c r="F10" s="4" t="s">
        <v>82</v>
      </c>
      <c r="G10" s="4" t="s">
        <v>88</v>
      </c>
      <c r="H10" s="6" t="s">
        <v>89</v>
      </c>
      <c r="I10" s="6" t="s">
        <v>76</v>
      </c>
      <c r="J10" s="4" t="s">
        <v>42</v>
      </c>
      <c r="K10" s="6" t="s">
        <v>90</v>
      </c>
      <c r="L10" s="4" t="s">
        <v>44</v>
      </c>
      <c r="M10" s="4" t="s">
        <v>45</v>
      </c>
      <c r="N10" s="4" t="s">
        <v>13</v>
      </c>
      <c r="O10" s="6"/>
    </row>
    <row r="11" spans="1:15" ht="15" customHeight="1">
      <c r="A11" s="4" t="s">
        <v>91</v>
      </c>
      <c r="B11" s="5" t="s">
        <v>10</v>
      </c>
      <c r="C11" s="6" t="s">
        <v>92</v>
      </c>
      <c r="D11" s="4" t="s">
        <v>73</v>
      </c>
      <c r="E11" s="5" t="s">
        <v>81</v>
      </c>
      <c r="F11" s="4" t="s">
        <v>38</v>
      </c>
      <c r="G11" s="4" t="s">
        <v>53</v>
      </c>
      <c r="H11" s="6" t="s">
        <v>93</v>
      </c>
      <c r="I11" s="6" t="s">
        <v>76</v>
      </c>
      <c r="J11" s="4" t="s">
        <v>55</v>
      </c>
      <c r="K11" s="6" t="s">
        <v>94</v>
      </c>
      <c r="L11" s="4" t="s">
        <v>44</v>
      </c>
      <c r="M11" s="4" t="s">
        <v>6</v>
      </c>
      <c r="N11" s="4" t="s">
        <v>13</v>
      </c>
      <c r="O11" s="6"/>
    </row>
    <row r="12" spans="1:15" ht="15" customHeight="1">
      <c r="A12" s="4" t="s">
        <v>95</v>
      </c>
      <c r="B12" s="5" t="s">
        <v>10</v>
      </c>
      <c r="C12" s="6" t="s">
        <v>96</v>
      </c>
      <c r="D12" s="4" t="s">
        <v>73</v>
      </c>
      <c r="E12" s="5" t="s">
        <v>97</v>
      </c>
      <c r="F12" s="4" t="s">
        <v>82</v>
      </c>
      <c r="G12" s="4" t="s">
        <v>98</v>
      </c>
      <c r="H12" s="6" t="s">
        <v>99</v>
      </c>
      <c r="I12" s="6" t="s">
        <v>76</v>
      </c>
      <c r="J12" s="4" t="s">
        <v>42</v>
      </c>
      <c r="K12" s="6" t="s">
        <v>100</v>
      </c>
      <c r="L12" s="4" t="s">
        <v>78</v>
      </c>
      <c r="M12" s="4" t="s">
        <v>45</v>
      </c>
      <c r="N12" s="4" t="s">
        <v>13</v>
      </c>
      <c r="O12" s="6"/>
    </row>
    <row r="13" spans="1:15" ht="15" customHeight="1">
      <c r="A13" s="4" t="s">
        <v>101</v>
      </c>
      <c r="B13" s="5" t="s">
        <v>10</v>
      </c>
      <c r="C13" s="6" t="s">
        <v>102</v>
      </c>
      <c r="D13" s="4" t="s">
        <v>73</v>
      </c>
      <c r="E13" s="5" t="s">
        <v>103</v>
      </c>
      <c r="F13" s="4" t="s">
        <v>82</v>
      </c>
      <c r="G13" s="4" t="s">
        <v>98</v>
      </c>
      <c r="H13" s="6" t="s">
        <v>104</v>
      </c>
      <c r="I13" s="6" t="s">
        <v>76</v>
      </c>
      <c r="J13" s="4" t="s">
        <v>42</v>
      </c>
      <c r="K13" s="6" t="s">
        <v>105</v>
      </c>
      <c r="L13" s="4" t="s">
        <v>78</v>
      </c>
      <c r="M13" s="4" t="s">
        <v>45</v>
      </c>
      <c r="N13" s="4" t="s">
        <v>13</v>
      </c>
      <c r="O13" s="6"/>
    </row>
    <row r="14" spans="1:15" ht="15" customHeight="1">
      <c r="A14" s="4" t="s">
        <v>106</v>
      </c>
      <c r="B14" s="5" t="s">
        <v>10</v>
      </c>
      <c r="C14" s="6" t="s">
        <v>107</v>
      </c>
      <c r="D14" s="4" t="s">
        <v>73</v>
      </c>
      <c r="E14" s="5" t="s">
        <v>108</v>
      </c>
      <c r="F14" s="4" t="s">
        <v>82</v>
      </c>
      <c r="G14" s="4" t="s">
        <v>98</v>
      </c>
      <c r="H14" s="6" t="s">
        <v>109</v>
      </c>
      <c r="I14" s="6" t="s">
        <v>76</v>
      </c>
      <c r="J14" s="4" t="s">
        <v>42</v>
      </c>
      <c r="K14" s="6" t="s">
        <v>110</v>
      </c>
      <c r="L14" s="4" t="s">
        <v>78</v>
      </c>
      <c r="M14" s="4" t="s">
        <v>45</v>
      </c>
      <c r="N14" s="4" t="s">
        <v>13</v>
      </c>
      <c r="O14" s="6"/>
    </row>
    <row r="15" spans="1:15" ht="15" customHeight="1">
      <c r="A15" s="4" t="s">
        <v>111</v>
      </c>
      <c r="B15" s="5" t="s">
        <v>10</v>
      </c>
      <c r="C15" s="6" t="s">
        <v>112</v>
      </c>
      <c r="D15" s="4" t="s">
        <v>73</v>
      </c>
      <c r="E15" s="5" t="s">
        <v>113</v>
      </c>
      <c r="F15" s="4" t="s">
        <v>82</v>
      </c>
      <c r="G15" s="4" t="s">
        <v>98</v>
      </c>
      <c r="H15" s="6" t="s">
        <v>114</v>
      </c>
      <c r="I15" s="6" t="s">
        <v>76</v>
      </c>
      <c r="J15" s="4" t="s">
        <v>42</v>
      </c>
      <c r="K15" s="6" t="s">
        <v>115</v>
      </c>
      <c r="L15" s="4" t="s">
        <v>44</v>
      </c>
      <c r="M15" s="4" t="s">
        <v>45</v>
      </c>
      <c r="N15" s="4" t="s">
        <v>13</v>
      </c>
      <c r="O15" s="6"/>
    </row>
    <row r="16" spans="1:15" ht="15" customHeight="1">
      <c r="A16" s="4" t="s">
        <v>116</v>
      </c>
      <c r="B16" s="5" t="s">
        <v>10</v>
      </c>
      <c r="C16" s="6" t="s">
        <v>117</v>
      </c>
      <c r="D16" s="4" t="s">
        <v>73</v>
      </c>
      <c r="E16" s="5" t="s">
        <v>118</v>
      </c>
      <c r="F16" s="4" t="s">
        <v>82</v>
      </c>
      <c r="G16" s="4" t="s">
        <v>98</v>
      </c>
      <c r="H16" s="6" t="s">
        <v>119</v>
      </c>
      <c r="I16" s="6" t="s">
        <v>76</v>
      </c>
      <c r="J16" s="4" t="s">
        <v>120</v>
      </c>
      <c r="K16" s="6" t="s">
        <v>121</v>
      </c>
      <c r="L16" s="4" t="s">
        <v>44</v>
      </c>
      <c r="M16" s="4" t="s">
        <v>57</v>
      </c>
      <c r="N16" s="4" t="s">
        <v>13</v>
      </c>
      <c r="O16" s="6"/>
    </row>
    <row r="17" spans="1:15" ht="39.6" customHeight="1">
      <c r="A17" s="4" t="s">
        <v>122</v>
      </c>
      <c r="B17" s="5" t="s">
        <v>10</v>
      </c>
      <c r="C17" s="6" t="s">
        <v>123</v>
      </c>
      <c r="D17" s="4" t="s">
        <v>36</v>
      </c>
      <c r="E17" s="5" t="s">
        <v>81</v>
      </c>
      <c r="F17" s="4" t="s">
        <v>82</v>
      </c>
      <c r="G17" s="4" t="s">
        <v>83</v>
      </c>
      <c r="H17" s="6" t="s">
        <v>124</v>
      </c>
      <c r="I17" s="6" t="s">
        <v>125</v>
      </c>
      <c r="J17" s="4" t="s">
        <v>126</v>
      </c>
      <c r="K17" s="6" t="s">
        <v>127</v>
      </c>
      <c r="L17" s="4" t="s">
        <v>44</v>
      </c>
      <c r="M17" s="4" t="s">
        <v>45</v>
      </c>
      <c r="N17" s="4" t="s">
        <v>13</v>
      </c>
      <c r="O17" s="6"/>
    </row>
    <row r="18" spans="1:15" ht="39.6" customHeight="1">
      <c r="A18" s="4" t="s">
        <v>128</v>
      </c>
      <c r="B18" s="5" t="s">
        <v>10</v>
      </c>
      <c r="C18" s="6" t="s">
        <v>129</v>
      </c>
      <c r="D18" s="4" t="s">
        <v>36</v>
      </c>
      <c r="E18" s="5" t="s">
        <v>81</v>
      </c>
      <c r="F18" s="4" t="s">
        <v>82</v>
      </c>
      <c r="G18" s="4" t="s">
        <v>88</v>
      </c>
      <c r="H18" s="6" t="s">
        <v>89</v>
      </c>
      <c r="I18" s="6" t="s">
        <v>130</v>
      </c>
      <c r="J18" s="4" t="s">
        <v>131</v>
      </c>
      <c r="K18" s="6" t="s">
        <v>132</v>
      </c>
      <c r="L18" s="4" t="s">
        <v>44</v>
      </c>
      <c r="M18" s="4" t="s">
        <v>133</v>
      </c>
      <c r="N18" s="4" t="s">
        <v>13</v>
      </c>
      <c r="O18" s="6"/>
    </row>
    <row r="19" spans="1:15" ht="39.6" customHeight="1">
      <c r="A19" s="4" t="s">
        <v>134</v>
      </c>
      <c r="B19" s="5" t="s">
        <v>10</v>
      </c>
      <c r="C19" s="6" t="s">
        <v>135</v>
      </c>
      <c r="D19" s="4" t="s">
        <v>36</v>
      </c>
      <c r="E19" s="5" t="s">
        <v>81</v>
      </c>
      <c r="F19" s="4" t="s">
        <v>38</v>
      </c>
      <c r="G19" s="4" t="s">
        <v>53</v>
      </c>
      <c r="H19" s="6" t="s">
        <v>93</v>
      </c>
      <c r="I19" s="6" t="s">
        <v>136</v>
      </c>
      <c r="J19" s="4" t="s">
        <v>55</v>
      </c>
      <c r="K19" s="6" t="s">
        <v>94</v>
      </c>
      <c r="L19" s="4" t="s">
        <v>44</v>
      </c>
      <c r="M19" s="4" t="s">
        <v>6</v>
      </c>
      <c r="N19" s="4" t="s">
        <v>13</v>
      </c>
      <c r="O19" s="6"/>
    </row>
    <row r="20" spans="1:15" ht="26.45" customHeight="1">
      <c r="A20" s="4" t="s">
        <v>137</v>
      </c>
      <c r="B20" s="5" t="s">
        <v>10</v>
      </c>
      <c r="C20" s="6" t="s">
        <v>138</v>
      </c>
      <c r="D20" s="4" t="s">
        <v>36</v>
      </c>
      <c r="E20" s="5" t="s">
        <v>81</v>
      </c>
      <c r="F20" s="4" t="s">
        <v>82</v>
      </c>
      <c r="G20" s="4" t="s">
        <v>83</v>
      </c>
      <c r="H20" s="6" t="s">
        <v>84</v>
      </c>
      <c r="I20" s="6" t="s">
        <v>139</v>
      </c>
      <c r="J20" s="4" t="s">
        <v>64</v>
      </c>
      <c r="K20" s="6" t="s">
        <v>140</v>
      </c>
      <c r="L20" s="4" t="s">
        <v>44</v>
      </c>
      <c r="M20" s="4" t="s">
        <v>66</v>
      </c>
      <c r="N20" s="4" t="s">
        <v>13</v>
      </c>
      <c r="O20" s="6"/>
    </row>
    <row r="21" spans="1:15" ht="39.6" customHeight="1">
      <c r="A21" s="4" t="s">
        <v>141</v>
      </c>
      <c r="B21" s="5" t="s">
        <v>10</v>
      </c>
      <c r="C21" s="6" t="s">
        <v>142</v>
      </c>
      <c r="D21" s="4" t="s">
        <v>36</v>
      </c>
      <c r="E21" s="5" t="s">
        <v>81</v>
      </c>
      <c r="F21" s="4" t="s">
        <v>82</v>
      </c>
      <c r="G21" s="4" t="s">
        <v>83</v>
      </c>
      <c r="H21" s="6" t="s">
        <v>143</v>
      </c>
      <c r="I21" s="6" t="s">
        <v>125</v>
      </c>
      <c r="J21" s="4" t="s">
        <v>64</v>
      </c>
      <c r="K21" s="6" t="s">
        <v>144</v>
      </c>
      <c r="L21" s="4" t="s">
        <v>44</v>
      </c>
      <c r="M21" s="4" t="s">
        <v>145</v>
      </c>
      <c r="N21" s="4" t="s">
        <v>13</v>
      </c>
      <c r="O21" s="6"/>
    </row>
    <row r="22" spans="1:15" ht="39.6" customHeight="1">
      <c r="A22" s="4" t="s">
        <v>146</v>
      </c>
      <c r="B22" s="5" t="s">
        <v>10</v>
      </c>
      <c r="C22" s="6" t="s">
        <v>147</v>
      </c>
      <c r="D22" s="4" t="s">
        <v>36</v>
      </c>
      <c r="E22" s="5" t="s">
        <v>81</v>
      </c>
      <c r="F22" s="4" t="s">
        <v>82</v>
      </c>
      <c r="G22" s="4" t="s">
        <v>83</v>
      </c>
      <c r="H22" s="6" t="s">
        <v>84</v>
      </c>
      <c r="I22" s="6" t="s">
        <v>148</v>
      </c>
      <c r="J22" s="4" t="s">
        <v>64</v>
      </c>
      <c r="K22" s="6" t="s">
        <v>149</v>
      </c>
      <c r="L22" s="4" t="s">
        <v>44</v>
      </c>
      <c r="M22" s="4" t="s">
        <v>66</v>
      </c>
      <c r="N22" s="4" t="s">
        <v>13</v>
      </c>
      <c r="O22" s="6"/>
    </row>
    <row r="23" spans="1:15" ht="39.6" customHeight="1">
      <c r="A23" s="4" t="s">
        <v>150</v>
      </c>
      <c r="B23" s="5" t="s">
        <v>10</v>
      </c>
      <c r="C23" s="6" t="s">
        <v>151</v>
      </c>
      <c r="D23" s="4" t="s">
        <v>36</v>
      </c>
      <c r="E23" s="5" t="s">
        <v>81</v>
      </c>
      <c r="F23" s="4" t="s">
        <v>82</v>
      </c>
      <c r="G23" s="4" t="s">
        <v>83</v>
      </c>
      <c r="H23" s="6" t="s">
        <v>84</v>
      </c>
      <c r="I23" s="6" t="s">
        <v>152</v>
      </c>
      <c r="J23" s="4" t="s">
        <v>64</v>
      </c>
      <c r="K23" s="6" t="s">
        <v>153</v>
      </c>
      <c r="L23" s="4" t="s">
        <v>44</v>
      </c>
      <c r="M23" s="4" t="s">
        <v>154</v>
      </c>
      <c r="N23" s="4" t="s">
        <v>13</v>
      </c>
      <c r="O23" s="6"/>
    </row>
    <row r="24" spans="1:15" ht="39.6" customHeight="1">
      <c r="A24" s="4" t="s">
        <v>155</v>
      </c>
      <c r="B24" s="5" t="s">
        <v>10</v>
      </c>
      <c r="C24" s="6" t="s">
        <v>156</v>
      </c>
      <c r="D24" s="4" t="s">
        <v>36</v>
      </c>
      <c r="E24" s="5" t="s">
        <v>81</v>
      </c>
      <c r="F24" s="4" t="s">
        <v>82</v>
      </c>
      <c r="G24" s="4" t="s">
        <v>83</v>
      </c>
      <c r="H24" s="6" t="s">
        <v>84</v>
      </c>
      <c r="I24" s="6" t="s">
        <v>157</v>
      </c>
      <c r="J24" s="4" t="s">
        <v>64</v>
      </c>
      <c r="K24" s="6" t="s">
        <v>153</v>
      </c>
      <c r="L24" s="4" t="s">
        <v>44</v>
      </c>
      <c r="M24" s="4" t="s">
        <v>154</v>
      </c>
      <c r="N24" s="4" t="s">
        <v>13</v>
      </c>
      <c r="O24" s="6"/>
    </row>
    <row r="25" spans="1:15" ht="39.6" customHeight="1">
      <c r="A25" s="4" t="s">
        <v>158</v>
      </c>
      <c r="B25" s="5" t="s">
        <v>10</v>
      </c>
      <c r="C25" s="6" t="s">
        <v>159</v>
      </c>
      <c r="D25" s="4" t="s">
        <v>36</v>
      </c>
      <c r="E25" s="5" t="s">
        <v>81</v>
      </c>
      <c r="F25" s="4" t="s">
        <v>82</v>
      </c>
      <c r="G25" s="4" t="s">
        <v>83</v>
      </c>
      <c r="H25" s="6" t="s">
        <v>160</v>
      </c>
      <c r="I25" s="6" t="s">
        <v>161</v>
      </c>
      <c r="J25" s="4" t="s">
        <v>126</v>
      </c>
      <c r="K25" s="6" t="s">
        <v>162</v>
      </c>
      <c r="L25" s="4" t="s">
        <v>44</v>
      </c>
      <c r="M25" s="4" t="s">
        <v>154</v>
      </c>
      <c r="N25" s="4" t="s">
        <v>13</v>
      </c>
      <c r="O25" s="6"/>
    </row>
    <row r="26" spans="1:15" ht="39.6" customHeight="1">
      <c r="A26" s="4" t="s">
        <v>163</v>
      </c>
      <c r="B26" s="5" t="s">
        <v>10</v>
      </c>
      <c r="C26" s="6" t="s">
        <v>164</v>
      </c>
      <c r="D26" s="4" t="s">
        <v>36</v>
      </c>
      <c r="E26" s="5" t="s">
        <v>81</v>
      </c>
      <c r="F26" s="4" t="s">
        <v>82</v>
      </c>
      <c r="G26" s="4" t="s">
        <v>83</v>
      </c>
      <c r="H26" s="6" t="s">
        <v>84</v>
      </c>
      <c r="I26" s="6" t="s">
        <v>165</v>
      </c>
      <c r="J26" s="4" t="s">
        <v>64</v>
      </c>
      <c r="K26" s="6" t="s">
        <v>166</v>
      </c>
      <c r="L26" s="4" t="s">
        <v>44</v>
      </c>
      <c r="M26" s="4" t="s">
        <v>154</v>
      </c>
      <c r="N26" s="4" t="s">
        <v>13</v>
      </c>
      <c r="O26" s="6"/>
    </row>
    <row r="27" spans="1:15" ht="39.6" customHeight="1">
      <c r="A27" s="4" t="s">
        <v>167</v>
      </c>
      <c r="B27" s="5" t="s">
        <v>10</v>
      </c>
      <c r="C27" s="6" t="s">
        <v>168</v>
      </c>
      <c r="D27" s="4" t="s">
        <v>36</v>
      </c>
      <c r="E27" s="5" t="s">
        <v>81</v>
      </c>
      <c r="F27" s="4" t="s">
        <v>82</v>
      </c>
      <c r="G27" s="4" t="s">
        <v>83</v>
      </c>
      <c r="H27" s="6" t="s">
        <v>84</v>
      </c>
      <c r="I27" s="6" t="s">
        <v>169</v>
      </c>
      <c r="J27" s="4" t="s">
        <v>64</v>
      </c>
      <c r="K27" s="6" t="s">
        <v>170</v>
      </c>
      <c r="L27" s="4" t="s">
        <v>78</v>
      </c>
      <c r="M27" s="4" t="s">
        <v>66</v>
      </c>
      <c r="N27" s="4" t="s">
        <v>13</v>
      </c>
      <c r="O27" s="6"/>
    </row>
    <row r="28" spans="1:15" ht="26.45" customHeight="1">
      <c r="A28" s="4" t="s">
        <v>171</v>
      </c>
      <c r="B28" s="5" t="s">
        <v>10</v>
      </c>
      <c r="C28" s="6" t="s">
        <v>172</v>
      </c>
      <c r="D28" s="4" t="s">
        <v>173</v>
      </c>
      <c r="E28" s="5" t="s">
        <v>113</v>
      </c>
      <c r="F28" s="4" t="s">
        <v>82</v>
      </c>
      <c r="G28" s="4" t="s">
        <v>83</v>
      </c>
      <c r="H28" s="6" t="s">
        <v>114</v>
      </c>
      <c r="I28" s="6" t="s">
        <v>174</v>
      </c>
      <c r="J28" s="4" t="s">
        <v>42</v>
      </c>
      <c r="K28" s="6" t="s">
        <v>175</v>
      </c>
      <c r="L28" s="4" t="s">
        <v>44</v>
      </c>
      <c r="M28" s="4" t="s">
        <v>45</v>
      </c>
      <c r="N28" s="4" t="s">
        <v>13</v>
      </c>
      <c r="O28" s="6"/>
    </row>
    <row r="29" spans="1:15" ht="39.6" customHeight="1">
      <c r="A29" s="4" t="s">
        <v>176</v>
      </c>
      <c r="B29" s="5" t="s">
        <v>10</v>
      </c>
      <c r="C29" s="6" t="s">
        <v>177</v>
      </c>
      <c r="D29" s="4" t="s">
        <v>173</v>
      </c>
      <c r="E29" s="5" t="s">
        <v>113</v>
      </c>
      <c r="F29" s="4" t="s">
        <v>82</v>
      </c>
      <c r="G29" s="4" t="s">
        <v>88</v>
      </c>
      <c r="H29" s="6" t="s">
        <v>114</v>
      </c>
      <c r="I29" s="6" t="s">
        <v>178</v>
      </c>
      <c r="J29" s="4" t="s">
        <v>131</v>
      </c>
      <c r="K29" s="6" t="s">
        <v>132</v>
      </c>
      <c r="L29" s="4" t="s">
        <v>44</v>
      </c>
      <c r="M29" s="4" t="s">
        <v>133</v>
      </c>
      <c r="N29" s="4" t="s">
        <v>13</v>
      </c>
      <c r="O29" s="6"/>
    </row>
    <row r="30" spans="1:15" ht="39.6" customHeight="1">
      <c r="A30" s="4" t="s">
        <v>179</v>
      </c>
      <c r="B30" s="5" t="s">
        <v>10</v>
      </c>
      <c r="C30" s="6" t="s">
        <v>180</v>
      </c>
      <c r="D30" s="4" t="s">
        <v>173</v>
      </c>
      <c r="E30" s="5" t="s">
        <v>118</v>
      </c>
      <c r="F30" s="4" t="s">
        <v>82</v>
      </c>
      <c r="G30" s="4" t="s">
        <v>83</v>
      </c>
      <c r="H30" s="6" t="s">
        <v>119</v>
      </c>
      <c r="I30" s="6" t="s">
        <v>181</v>
      </c>
      <c r="J30" s="4" t="s">
        <v>120</v>
      </c>
      <c r="K30" s="6" t="s">
        <v>121</v>
      </c>
      <c r="L30" s="4" t="s">
        <v>44</v>
      </c>
      <c r="M30" s="4" t="s">
        <v>57</v>
      </c>
      <c r="N30" s="4" t="s">
        <v>13</v>
      </c>
      <c r="O30" s="6"/>
    </row>
    <row r="31" spans="1:15" ht="39.6" customHeight="1">
      <c r="A31" s="4" t="s">
        <v>182</v>
      </c>
      <c r="B31" s="5" t="s">
        <v>10</v>
      </c>
      <c r="C31" s="6" t="s">
        <v>183</v>
      </c>
      <c r="D31" s="4" t="s">
        <v>173</v>
      </c>
      <c r="E31" s="5" t="s">
        <v>113</v>
      </c>
      <c r="F31" s="4" t="s">
        <v>82</v>
      </c>
      <c r="G31" s="4" t="s">
        <v>83</v>
      </c>
      <c r="H31" s="6" t="s">
        <v>184</v>
      </c>
      <c r="I31" s="6" t="s">
        <v>185</v>
      </c>
      <c r="J31" s="4" t="s">
        <v>64</v>
      </c>
      <c r="K31" s="6" t="s">
        <v>186</v>
      </c>
      <c r="L31" s="4" t="s">
        <v>44</v>
      </c>
      <c r="M31" s="4" t="s">
        <v>145</v>
      </c>
      <c r="N31" s="4" t="s">
        <v>13</v>
      </c>
      <c r="O31" s="6"/>
    </row>
    <row r="32" spans="1:15" ht="26.45" customHeight="1">
      <c r="A32" s="4" t="s">
        <v>187</v>
      </c>
      <c r="B32" s="5" t="s">
        <v>10</v>
      </c>
      <c r="C32" s="6" t="s">
        <v>188</v>
      </c>
      <c r="D32" s="4" t="s">
        <v>173</v>
      </c>
      <c r="E32" s="5" t="s">
        <v>113</v>
      </c>
      <c r="F32" s="4" t="s">
        <v>82</v>
      </c>
      <c r="G32" s="4" t="s">
        <v>83</v>
      </c>
      <c r="H32" s="6" t="s">
        <v>114</v>
      </c>
      <c r="I32" s="6" t="s">
        <v>189</v>
      </c>
      <c r="J32" s="4" t="s">
        <v>64</v>
      </c>
      <c r="K32" s="6" t="s">
        <v>153</v>
      </c>
      <c r="L32" s="4" t="s">
        <v>44</v>
      </c>
      <c r="M32" s="4" t="s">
        <v>154</v>
      </c>
      <c r="N32" s="4" t="s">
        <v>13</v>
      </c>
      <c r="O32" s="6"/>
    </row>
    <row r="33" spans="1:15" ht="39.6" customHeight="1">
      <c r="A33" s="4" t="s">
        <v>190</v>
      </c>
      <c r="B33" s="5" t="s">
        <v>10</v>
      </c>
      <c r="C33" s="6" t="s">
        <v>191</v>
      </c>
      <c r="D33" s="4" t="s">
        <v>173</v>
      </c>
      <c r="E33" s="5" t="s">
        <v>113</v>
      </c>
      <c r="F33" s="4" t="s">
        <v>82</v>
      </c>
      <c r="G33" s="4" t="s">
        <v>83</v>
      </c>
      <c r="H33" s="6" t="s">
        <v>114</v>
      </c>
      <c r="I33" s="6" t="s">
        <v>192</v>
      </c>
      <c r="J33" s="4" t="s">
        <v>193</v>
      </c>
      <c r="K33" s="6" t="s">
        <v>194</v>
      </c>
      <c r="L33" s="4" t="s">
        <v>44</v>
      </c>
      <c r="M33" s="4" t="s">
        <v>145</v>
      </c>
      <c r="N33" s="4" t="s">
        <v>13</v>
      </c>
      <c r="O33" s="6"/>
    </row>
    <row r="34" spans="1:15" ht="26.45" customHeight="1">
      <c r="A34" s="4" t="s">
        <v>195</v>
      </c>
      <c r="B34" s="5" t="s">
        <v>10</v>
      </c>
      <c r="C34" s="6" t="s">
        <v>196</v>
      </c>
      <c r="D34" s="4" t="s">
        <v>197</v>
      </c>
      <c r="E34" s="5" t="s">
        <v>198</v>
      </c>
      <c r="F34" s="4" t="s">
        <v>82</v>
      </c>
      <c r="G34" s="4" t="s">
        <v>83</v>
      </c>
      <c r="H34" s="6" t="s">
        <v>199</v>
      </c>
      <c r="I34" s="6" t="s">
        <v>76</v>
      </c>
      <c r="J34" s="4" t="s">
        <v>200</v>
      </c>
      <c r="K34" s="6" t="s">
        <v>201</v>
      </c>
      <c r="L34" s="4" t="s">
        <v>44</v>
      </c>
      <c r="M34" s="4" t="s">
        <v>45</v>
      </c>
      <c r="N34" s="4" t="s">
        <v>13</v>
      </c>
      <c r="O34" s="6"/>
    </row>
    <row r="35" spans="1:15" ht="15" customHeight="1">
      <c r="A35" s="4" t="s">
        <v>202</v>
      </c>
      <c r="B35" s="5" t="s">
        <v>10</v>
      </c>
      <c r="C35" s="6" t="s">
        <v>203</v>
      </c>
      <c r="D35" s="4" t="s">
        <v>197</v>
      </c>
      <c r="E35" s="5" t="s">
        <v>113</v>
      </c>
      <c r="F35" s="4" t="s">
        <v>82</v>
      </c>
      <c r="G35" s="4" t="s">
        <v>88</v>
      </c>
      <c r="H35" s="6" t="s">
        <v>204</v>
      </c>
      <c r="I35" s="6" t="s">
        <v>76</v>
      </c>
      <c r="J35" s="4" t="s">
        <v>131</v>
      </c>
      <c r="K35" s="6" t="s">
        <v>132</v>
      </c>
      <c r="L35" s="4" t="s">
        <v>44</v>
      </c>
      <c r="M35" s="4" t="s">
        <v>133</v>
      </c>
      <c r="N35" s="4" t="s">
        <v>13</v>
      </c>
      <c r="O35" s="6"/>
    </row>
    <row r="36" spans="1:15" ht="26.45" customHeight="1">
      <c r="A36" s="4" t="s">
        <v>205</v>
      </c>
      <c r="B36" s="5" t="s">
        <v>10</v>
      </c>
      <c r="C36" s="6" t="s">
        <v>206</v>
      </c>
      <c r="D36" s="4" t="s">
        <v>197</v>
      </c>
      <c r="E36" s="5" t="s">
        <v>113</v>
      </c>
      <c r="F36" s="4" t="s">
        <v>82</v>
      </c>
      <c r="G36" s="4" t="s">
        <v>83</v>
      </c>
      <c r="H36" s="6" t="s">
        <v>207</v>
      </c>
      <c r="I36" s="6" t="s">
        <v>76</v>
      </c>
      <c r="J36" s="4" t="s">
        <v>64</v>
      </c>
      <c r="K36" s="6" t="s">
        <v>208</v>
      </c>
      <c r="L36" s="4" t="s">
        <v>44</v>
      </c>
      <c r="M36" s="4" t="s">
        <v>145</v>
      </c>
      <c r="N36" s="4" t="s">
        <v>13</v>
      </c>
      <c r="O36" s="6"/>
    </row>
    <row r="37" spans="1:15" ht="26.45" customHeight="1">
      <c r="A37" s="4" t="s">
        <v>209</v>
      </c>
      <c r="B37" s="5" t="s">
        <v>10</v>
      </c>
      <c r="C37" s="6" t="s">
        <v>210</v>
      </c>
      <c r="D37" s="4" t="s">
        <v>197</v>
      </c>
      <c r="E37" s="5" t="s">
        <v>211</v>
      </c>
      <c r="F37" s="4" t="s">
        <v>82</v>
      </c>
      <c r="G37" s="4" t="s">
        <v>83</v>
      </c>
      <c r="H37" s="6" t="s">
        <v>212</v>
      </c>
      <c r="I37" s="6" t="s">
        <v>76</v>
      </c>
      <c r="J37" s="4" t="s">
        <v>64</v>
      </c>
      <c r="K37" s="6" t="s">
        <v>208</v>
      </c>
      <c r="L37" s="4" t="s">
        <v>44</v>
      </c>
      <c r="M37" s="4" t="s">
        <v>145</v>
      </c>
      <c r="N37" s="4" t="s">
        <v>13</v>
      </c>
      <c r="O37" s="6"/>
    </row>
    <row r="38" spans="1:15" ht="26.45" customHeight="1">
      <c r="A38" s="4" t="s">
        <v>213</v>
      </c>
      <c r="B38" s="5" t="s">
        <v>10</v>
      </c>
      <c r="C38" s="6" t="s">
        <v>214</v>
      </c>
      <c r="D38" s="4" t="s">
        <v>197</v>
      </c>
      <c r="E38" s="5" t="s">
        <v>215</v>
      </c>
      <c r="F38" s="4" t="s">
        <v>82</v>
      </c>
      <c r="G38" s="4" t="s">
        <v>83</v>
      </c>
      <c r="H38" s="6" t="s">
        <v>216</v>
      </c>
      <c r="I38" s="6" t="s">
        <v>76</v>
      </c>
      <c r="J38" s="4" t="s">
        <v>64</v>
      </c>
      <c r="K38" s="6" t="s">
        <v>208</v>
      </c>
      <c r="L38" s="4" t="s">
        <v>44</v>
      </c>
      <c r="M38" s="4" t="s">
        <v>145</v>
      </c>
      <c r="N38" s="4" t="s">
        <v>13</v>
      </c>
      <c r="O38" s="6"/>
    </row>
    <row r="39" spans="1:15" ht="15" customHeight="1">
      <c r="A39" s="4" t="s">
        <v>217</v>
      </c>
      <c r="B39" s="5" t="s">
        <v>10</v>
      </c>
      <c r="C39" s="6" t="s">
        <v>218</v>
      </c>
      <c r="D39" s="4" t="s">
        <v>197</v>
      </c>
      <c r="E39" s="5" t="s">
        <v>118</v>
      </c>
      <c r="F39" s="4" t="s">
        <v>82</v>
      </c>
      <c r="G39" s="4" t="s">
        <v>83</v>
      </c>
      <c r="H39" s="6" t="s">
        <v>119</v>
      </c>
      <c r="I39" s="6" t="s">
        <v>76</v>
      </c>
      <c r="J39" s="4" t="s">
        <v>120</v>
      </c>
      <c r="K39" s="6" t="s">
        <v>121</v>
      </c>
      <c r="L39" s="4" t="s">
        <v>78</v>
      </c>
      <c r="M39" s="4" t="s">
        <v>57</v>
      </c>
      <c r="N39" s="4" t="s">
        <v>13</v>
      </c>
      <c r="O39" s="6"/>
    </row>
    <row r="40" spans="1:15" ht="15" customHeight="1">
      <c r="A40" s="4" t="s">
        <v>219</v>
      </c>
      <c r="B40" s="5" t="s">
        <v>12</v>
      </c>
      <c r="C40" s="6" t="s">
        <v>220</v>
      </c>
      <c r="D40" s="4" t="s">
        <v>36</v>
      </c>
      <c r="E40" s="5" t="s">
        <v>221</v>
      </c>
      <c r="F40" s="4" t="s">
        <v>82</v>
      </c>
      <c r="G40" s="4" t="s">
        <v>83</v>
      </c>
      <c r="H40" s="6" t="s">
        <v>222</v>
      </c>
      <c r="I40" s="6" t="s">
        <v>223</v>
      </c>
      <c r="J40" s="4" t="s">
        <v>126</v>
      </c>
      <c r="K40" s="6" t="s">
        <v>224</v>
      </c>
      <c r="L40" s="4" t="s">
        <v>44</v>
      </c>
      <c r="M40" s="4" t="s">
        <v>45</v>
      </c>
      <c r="N40" s="4" t="s">
        <v>13</v>
      </c>
      <c r="O40" s="6"/>
    </row>
    <row r="41" spans="1:15" ht="15" customHeight="1">
      <c r="A41" s="4" t="s">
        <v>225</v>
      </c>
      <c r="B41" s="5" t="s">
        <v>12</v>
      </c>
      <c r="C41" s="6" t="s">
        <v>226</v>
      </c>
      <c r="D41" s="4" t="s">
        <v>36</v>
      </c>
      <c r="E41" s="5" t="s">
        <v>221</v>
      </c>
      <c r="F41" s="4" t="s">
        <v>82</v>
      </c>
      <c r="G41" s="4" t="s">
        <v>88</v>
      </c>
      <c r="H41" s="6" t="s">
        <v>222</v>
      </c>
      <c r="I41" s="6" t="s">
        <v>223</v>
      </c>
      <c r="J41" s="4" t="s">
        <v>126</v>
      </c>
      <c r="K41" s="6" t="s">
        <v>227</v>
      </c>
      <c r="L41" s="4" t="s">
        <v>44</v>
      </c>
      <c r="M41" s="4" t="s">
        <v>45</v>
      </c>
      <c r="N41" s="4" t="s">
        <v>13</v>
      </c>
      <c r="O41" s="6"/>
    </row>
    <row r="42" spans="1:15" ht="15" customHeight="1">
      <c r="A42" s="4" t="s">
        <v>228</v>
      </c>
      <c r="B42" s="5" t="s">
        <v>12</v>
      </c>
      <c r="C42" s="6" t="s">
        <v>229</v>
      </c>
      <c r="D42" s="4" t="s">
        <v>36</v>
      </c>
      <c r="E42" s="5" t="s">
        <v>221</v>
      </c>
      <c r="F42" s="4" t="s">
        <v>38</v>
      </c>
      <c r="G42" s="4" t="s">
        <v>53</v>
      </c>
      <c r="H42" s="6" t="s">
        <v>93</v>
      </c>
      <c r="I42" s="6" t="s">
        <v>223</v>
      </c>
      <c r="J42" s="4" t="s">
        <v>55</v>
      </c>
      <c r="K42" s="6" t="s">
        <v>94</v>
      </c>
      <c r="L42" s="4" t="s">
        <v>44</v>
      </c>
      <c r="M42" s="4" t="s">
        <v>6</v>
      </c>
      <c r="N42" s="4" t="s">
        <v>13</v>
      </c>
      <c r="O42" s="6"/>
    </row>
    <row r="43" spans="1:15" ht="15" customHeight="1">
      <c r="A43" s="4" t="s">
        <v>230</v>
      </c>
      <c r="B43" s="5" t="s">
        <v>12</v>
      </c>
      <c r="C43" s="6" t="s">
        <v>231</v>
      </c>
      <c r="D43" s="4" t="s">
        <v>36</v>
      </c>
      <c r="E43" s="5" t="s">
        <v>221</v>
      </c>
      <c r="F43" s="4" t="s">
        <v>82</v>
      </c>
      <c r="G43" s="4" t="s">
        <v>83</v>
      </c>
      <c r="H43" s="6" t="s">
        <v>84</v>
      </c>
      <c r="I43" s="6" t="s">
        <v>232</v>
      </c>
      <c r="J43" s="4" t="s">
        <v>64</v>
      </c>
      <c r="K43" s="6" t="s">
        <v>233</v>
      </c>
      <c r="L43" s="4" t="s">
        <v>44</v>
      </c>
      <c r="M43" s="4" t="s">
        <v>66</v>
      </c>
      <c r="N43" s="4" t="s">
        <v>13</v>
      </c>
      <c r="O43" s="6"/>
    </row>
    <row r="44" spans="1:15" ht="15" customHeight="1">
      <c r="A44" s="4" t="s">
        <v>234</v>
      </c>
      <c r="B44" s="5" t="s">
        <v>12</v>
      </c>
      <c r="C44" s="6" t="s">
        <v>235</v>
      </c>
      <c r="D44" s="4" t="s">
        <v>36</v>
      </c>
      <c r="E44" s="5" t="s">
        <v>221</v>
      </c>
      <c r="F44" s="4" t="s">
        <v>82</v>
      </c>
      <c r="G44" s="4" t="s">
        <v>83</v>
      </c>
      <c r="H44" s="6" t="s">
        <v>119</v>
      </c>
      <c r="I44" s="6" t="s">
        <v>236</v>
      </c>
      <c r="J44" s="4" t="s">
        <v>120</v>
      </c>
      <c r="K44" s="6" t="s">
        <v>237</v>
      </c>
      <c r="L44" s="4" t="s">
        <v>44</v>
      </c>
      <c r="M44" s="4" t="s">
        <v>57</v>
      </c>
      <c r="N44" s="4" t="s">
        <v>13</v>
      </c>
      <c r="O44" s="6"/>
    </row>
    <row r="45" spans="1:15" ht="15" customHeight="1">
      <c r="A45" s="4" t="s">
        <v>238</v>
      </c>
      <c r="B45" s="5" t="s">
        <v>12</v>
      </c>
      <c r="C45" s="6" t="s">
        <v>239</v>
      </c>
      <c r="D45" s="4" t="s">
        <v>36</v>
      </c>
      <c r="E45" s="5" t="s">
        <v>221</v>
      </c>
      <c r="F45" s="4" t="s">
        <v>82</v>
      </c>
      <c r="G45" s="4" t="s">
        <v>83</v>
      </c>
      <c r="H45" s="6" t="s">
        <v>240</v>
      </c>
      <c r="I45" s="6" t="s">
        <v>241</v>
      </c>
      <c r="J45" s="4" t="s">
        <v>64</v>
      </c>
      <c r="K45" s="6" t="s">
        <v>242</v>
      </c>
      <c r="L45" s="4" t="s">
        <v>44</v>
      </c>
      <c r="M45" s="4" t="s">
        <v>145</v>
      </c>
      <c r="N45" s="4" t="s">
        <v>13</v>
      </c>
      <c r="O45" s="6"/>
    </row>
    <row r="46" spans="1:15" ht="15" customHeight="1">
      <c r="A46" s="4" t="s">
        <v>243</v>
      </c>
      <c r="B46" s="5" t="s">
        <v>12</v>
      </c>
      <c r="C46" s="6" t="s">
        <v>244</v>
      </c>
      <c r="D46" s="4" t="s">
        <v>36</v>
      </c>
      <c r="E46" s="5" t="s">
        <v>221</v>
      </c>
      <c r="F46" s="4" t="s">
        <v>82</v>
      </c>
      <c r="G46" s="4" t="s">
        <v>83</v>
      </c>
      <c r="H46" s="6" t="s">
        <v>222</v>
      </c>
      <c r="I46" s="6" t="s">
        <v>245</v>
      </c>
      <c r="J46" s="4" t="s">
        <v>64</v>
      </c>
      <c r="K46" s="6" t="s">
        <v>246</v>
      </c>
      <c r="L46" s="4" t="s">
        <v>44</v>
      </c>
      <c r="M46" s="4" t="s">
        <v>154</v>
      </c>
      <c r="N46" s="4" t="s">
        <v>13</v>
      </c>
      <c r="O46" s="6"/>
    </row>
    <row r="47" spans="1:15" ht="15" customHeight="1">
      <c r="A47" s="4" t="s">
        <v>247</v>
      </c>
      <c r="B47" s="5" t="s">
        <v>12</v>
      </c>
      <c r="C47" s="6" t="s">
        <v>248</v>
      </c>
      <c r="D47" s="4" t="s">
        <v>36</v>
      </c>
      <c r="E47" s="5" t="s">
        <v>221</v>
      </c>
      <c r="F47" s="4" t="s">
        <v>82</v>
      </c>
      <c r="G47" s="4" t="s">
        <v>83</v>
      </c>
      <c r="H47" s="6" t="s">
        <v>222</v>
      </c>
      <c r="I47" s="6" t="s">
        <v>249</v>
      </c>
      <c r="J47" s="4" t="s">
        <v>64</v>
      </c>
      <c r="K47" s="6" t="s">
        <v>246</v>
      </c>
      <c r="L47" s="4" t="s">
        <v>44</v>
      </c>
      <c r="M47" s="4" t="s">
        <v>154</v>
      </c>
      <c r="N47" s="4" t="s">
        <v>13</v>
      </c>
      <c r="O47" s="6"/>
    </row>
    <row r="48" spans="1:15" ht="15" customHeight="1">
      <c r="A48" s="4" t="s">
        <v>250</v>
      </c>
      <c r="B48" s="5" t="s">
        <v>12</v>
      </c>
      <c r="C48" s="6" t="s">
        <v>251</v>
      </c>
      <c r="D48" s="4" t="s">
        <v>73</v>
      </c>
      <c r="E48" s="5" t="s">
        <v>221</v>
      </c>
      <c r="F48" s="4" t="s">
        <v>82</v>
      </c>
      <c r="G48" s="4" t="s">
        <v>98</v>
      </c>
      <c r="H48" s="6" t="s">
        <v>252</v>
      </c>
      <c r="I48" s="6" t="s">
        <v>76</v>
      </c>
      <c r="J48" s="4" t="s">
        <v>42</v>
      </c>
      <c r="K48" s="6" t="s">
        <v>253</v>
      </c>
      <c r="L48" s="4" t="s">
        <v>78</v>
      </c>
      <c r="M48" s="4" t="s">
        <v>45</v>
      </c>
      <c r="N48" s="4" t="s">
        <v>13</v>
      </c>
      <c r="O48" s="6"/>
    </row>
    <row r="49" spans="1:15" ht="15" customHeight="1">
      <c r="A49" s="4" t="s">
        <v>254</v>
      </c>
      <c r="B49" s="5" t="s">
        <v>12</v>
      </c>
      <c r="C49" s="6" t="s">
        <v>255</v>
      </c>
      <c r="D49" s="4" t="s">
        <v>73</v>
      </c>
      <c r="E49" s="5" t="s">
        <v>256</v>
      </c>
      <c r="F49" s="4" t="s">
        <v>82</v>
      </c>
      <c r="G49" s="4" t="s">
        <v>98</v>
      </c>
      <c r="H49" s="6" t="s">
        <v>252</v>
      </c>
      <c r="I49" s="6" t="s">
        <v>76</v>
      </c>
      <c r="J49" s="4" t="s">
        <v>42</v>
      </c>
      <c r="K49" s="6" t="s">
        <v>257</v>
      </c>
      <c r="L49" s="4" t="s">
        <v>78</v>
      </c>
      <c r="M49" s="4" t="s">
        <v>45</v>
      </c>
      <c r="N49" s="4" t="s">
        <v>13</v>
      </c>
      <c r="O49" s="6"/>
    </row>
    <row r="50" spans="1:15" ht="15" customHeight="1">
      <c r="A50" s="4" t="s">
        <v>258</v>
      </c>
      <c r="B50" s="5" t="s">
        <v>12</v>
      </c>
      <c r="C50" s="6" t="s">
        <v>259</v>
      </c>
      <c r="D50" s="4" t="s">
        <v>73</v>
      </c>
      <c r="E50" s="5" t="s">
        <v>260</v>
      </c>
      <c r="F50" s="4" t="s">
        <v>82</v>
      </c>
      <c r="G50" s="4" t="s">
        <v>98</v>
      </c>
      <c r="H50" s="6" t="s">
        <v>252</v>
      </c>
      <c r="I50" s="6" t="s">
        <v>76</v>
      </c>
      <c r="J50" s="4" t="s">
        <v>42</v>
      </c>
      <c r="K50" s="6" t="s">
        <v>261</v>
      </c>
      <c r="L50" s="4" t="s">
        <v>78</v>
      </c>
      <c r="M50" s="4" t="s">
        <v>45</v>
      </c>
      <c r="N50" s="4" t="s">
        <v>13</v>
      </c>
      <c r="O50" s="6"/>
    </row>
    <row r="51" spans="1:15" ht="15" customHeight="1">
      <c r="A51" s="4" t="s">
        <v>262</v>
      </c>
      <c r="B51" s="5" t="s">
        <v>12</v>
      </c>
      <c r="C51" s="6" t="s">
        <v>263</v>
      </c>
      <c r="D51" s="4" t="s">
        <v>73</v>
      </c>
      <c r="E51" s="5" t="s">
        <v>264</v>
      </c>
      <c r="F51" s="4" t="s">
        <v>82</v>
      </c>
      <c r="G51" s="4" t="s">
        <v>98</v>
      </c>
      <c r="H51" s="6" t="s">
        <v>265</v>
      </c>
      <c r="I51" s="6" t="s">
        <v>76</v>
      </c>
      <c r="J51" s="4" t="s">
        <v>42</v>
      </c>
      <c r="K51" s="6" t="s">
        <v>266</v>
      </c>
      <c r="L51" s="4" t="s">
        <v>78</v>
      </c>
      <c r="M51" s="4" t="s">
        <v>45</v>
      </c>
      <c r="N51" s="4" t="s">
        <v>13</v>
      </c>
      <c r="O51" s="6"/>
    </row>
    <row r="52" spans="1:15" ht="15" customHeight="1">
      <c r="A52" s="4" t="s">
        <v>267</v>
      </c>
      <c r="B52" s="5" t="s">
        <v>12</v>
      </c>
      <c r="C52" s="6" t="s">
        <v>268</v>
      </c>
      <c r="D52" s="4" t="s">
        <v>73</v>
      </c>
      <c r="E52" s="5" t="s">
        <v>269</v>
      </c>
      <c r="F52" s="4" t="s">
        <v>82</v>
      </c>
      <c r="G52" s="4" t="s">
        <v>98</v>
      </c>
      <c r="H52" s="6" t="s">
        <v>270</v>
      </c>
      <c r="I52" s="6" t="s">
        <v>76</v>
      </c>
      <c r="J52" s="4" t="s">
        <v>120</v>
      </c>
      <c r="K52" s="6" t="s">
        <v>121</v>
      </c>
      <c r="L52" s="4" t="s">
        <v>78</v>
      </c>
      <c r="M52" s="4" t="s">
        <v>57</v>
      </c>
      <c r="N52" s="4" t="s">
        <v>13</v>
      </c>
      <c r="O52" s="6"/>
    </row>
    <row r="53" spans="1:15" ht="15" customHeight="1">
      <c r="A53" s="4" t="s">
        <v>271</v>
      </c>
      <c r="B53" s="5" t="s">
        <v>14</v>
      </c>
      <c r="C53" s="6" t="s">
        <v>272</v>
      </c>
      <c r="D53" s="4" t="s">
        <v>36</v>
      </c>
      <c r="E53" s="5" t="s">
        <v>273</v>
      </c>
      <c r="F53" s="4" t="s">
        <v>82</v>
      </c>
      <c r="G53" s="4" t="s">
        <v>83</v>
      </c>
      <c r="H53" s="6" t="s">
        <v>274</v>
      </c>
      <c r="I53" s="6" t="s">
        <v>275</v>
      </c>
      <c r="J53" s="4" t="s">
        <v>126</v>
      </c>
      <c r="K53" s="6" t="s">
        <v>276</v>
      </c>
      <c r="L53" s="4" t="s">
        <v>44</v>
      </c>
      <c r="M53" s="4" t="s">
        <v>45</v>
      </c>
      <c r="N53" s="4" t="s">
        <v>13</v>
      </c>
      <c r="O53" s="6"/>
    </row>
    <row r="54" spans="1:15" ht="15" customHeight="1">
      <c r="A54" s="4" t="s">
        <v>277</v>
      </c>
      <c r="B54" s="5" t="s">
        <v>14</v>
      </c>
      <c r="C54" s="6" t="s">
        <v>278</v>
      </c>
      <c r="D54" s="4" t="s">
        <v>36</v>
      </c>
      <c r="E54" s="5" t="s">
        <v>273</v>
      </c>
      <c r="F54" s="4" t="s">
        <v>82</v>
      </c>
      <c r="G54" s="4" t="s">
        <v>88</v>
      </c>
      <c r="H54" s="6" t="s">
        <v>274</v>
      </c>
      <c r="I54" s="6" t="s">
        <v>275</v>
      </c>
      <c r="J54" s="4" t="s">
        <v>126</v>
      </c>
      <c r="K54" s="6" t="s">
        <v>279</v>
      </c>
      <c r="L54" s="4" t="s">
        <v>44</v>
      </c>
      <c r="M54" s="4" t="s">
        <v>45</v>
      </c>
      <c r="N54" s="4" t="s">
        <v>13</v>
      </c>
      <c r="O54" s="6"/>
    </row>
    <row r="55" spans="1:15" ht="15" customHeight="1">
      <c r="A55" s="4" t="s">
        <v>280</v>
      </c>
      <c r="B55" s="5" t="s">
        <v>14</v>
      </c>
      <c r="C55" s="6" t="s">
        <v>281</v>
      </c>
      <c r="D55" s="4" t="s">
        <v>36</v>
      </c>
      <c r="E55" s="5" t="s">
        <v>273</v>
      </c>
      <c r="F55" s="4" t="s">
        <v>38</v>
      </c>
      <c r="G55" s="4" t="s">
        <v>53</v>
      </c>
      <c r="H55" s="6" t="s">
        <v>93</v>
      </c>
      <c r="I55" s="6" t="s">
        <v>275</v>
      </c>
      <c r="J55" s="4" t="s">
        <v>55</v>
      </c>
      <c r="K55" s="6" t="s">
        <v>94</v>
      </c>
      <c r="L55" s="4" t="s">
        <v>44</v>
      </c>
      <c r="M55" s="4" t="s">
        <v>6</v>
      </c>
      <c r="N55" s="4" t="s">
        <v>13</v>
      </c>
      <c r="O55" s="6"/>
    </row>
    <row r="56" spans="1:15" ht="15" customHeight="1">
      <c r="A56" s="4" t="s">
        <v>282</v>
      </c>
      <c r="B56" s="5" t="s">
        <v>14</v>
      </c>
      <c r="C56" s="6" t="s">
        <v>283</v>
      </c>
      <c r="D56" s="4" t="s">
        <v>36</v>
      </c>
      <c r="E56" s="5" t="s">
        <v>273</v>
      </c>
      <c r="F56" s="4" t="s">
        <v>82</v>
      </c>
      <c r="G56" s="4" t="s">
        <v>83</v>
      </c>
      <c r="H56" s="6" t="s">
        <v>84</v>
      </c>
      <c r="I56" s="6" t="s">
        <v>284</v>
      </c>
      <c r="J56" s="4" t="s">
        <v>64</v>
      </c>
      <c r="K56" s="6" t="s">
        <v>233</v>
      </c>
      <c r="L56" s="4" t="s">
        <v>44</v>
      </c>
      <c r="M56" s="4" t="s">
        <v>66</v>
      </c>
      <c r="N56" s="4" t="s">
        <v>13</v>
      </c>
      <c r="O56" s="6"/>
    </row>
    <row r="57" spans="1:15" ht="15" customHeight="1">
      <c r="A57" s="4" t="s">
        <v>285</v>
      </c>
      <c r="B57" s="5" t="s">
        <v>14</v>
      </c>
      <c r="C57" s="6" t="s">
        <v>286</v>
      </c>
      <c r="D57" s="4" t="s">
        <v>36</v>
      </c>
      <c r="E57" s="5" t="s">
        <v>273</v>
      </c>
      <c r="F57" s="4" t="s">
        <v>82</v>
      </c>
      <c r="G57" s="4" t="s">
        <v>83</v>
      </c>
      <c r="H57" s="6" t="s">
        <v>119</v>
      </c>
      <c r="I57" s="6" t="s">
        <v>287</v>
      </c>
      <c r="J57" s="4" t="s">
        <v>120</v>
      </c>
      <c r="K57" s="6" t="s">
        <v>237</v>
      </c>
      <c r="L57" s="4" t="s">
        <v>44</v>
      </c>
      <c r="M57" s="4" t="s">
        <v>57</v>
      </c>
      <c r="N57" s="4" t="s">
        <v>13</v>
      </c>
      <c r="O57" s="6"/>
    </row>
    <row r="58" spans="1:15" ht="15" customHeight="1">
      <c r="A58" s="4" t="s">
        <v>288</v>
      </c>
      <c r="B58" s="5" t="s">
        <v>14</v>
      </c>
      <c r="C58" s="6" t="s">
        <v>289</v>
      </c>
      <c r="D58" s="4" t="s">
        <v>36</v>
      </c>
      <c r="E58" s="5" t="s">
        <v>273</v>
      </c>
      <c r="F58" s="4" t="s">
        <v>82</v>
      </c>
      <c r="G58" s="4" t="s">
        <v>83</v>
      </c>
      <c r="H58" s="6" t="s">
        <v>240</v>
      </c>
      <c r="I58" s="6" t="s">
        <v>290</v>
      </c>
      <c r="J58" s="4" t="s">
        <v>64</v>
      </c>
      <c r="K58" s="6" t="s">
        <v>291</v>
      </c>
      <c r="L58" s="4" t="s">
        <v>44</v>
      </c>
      <c r="M58" s="4" t="s">
        <v>145</v>
      </c>
      <c r="N58" s="4" t="s">
        <v>13</v>
      </c>
      <c r="O58" s="6"/>
    </row>
    <row r="59" spans="1:15" ht="15" customHeight="1">
      <c r="A59" s="4" t="s">
        <v>292</v>
      </c>
      <c r="B59" s="5" t="s">
        <v>14</v>
      </c>
      <c r="C59" s="6" t="s">
        <v>293</v>
      </c>
      <c r="D59" s="4" t="s">
        <v>36</v>
      </c>
      <c r="E59" s="5" t="s">
        <v>273</v>
      </c>
      <c r="F59" s="4" t="s">
        <v>82</v>
      </c>
      <c r="G59" s="4" t="s">
        <v>83</v>
      </c>
      <c r="H59" s="6" t="s">
        <v>222</v>
      </c>
      <c r="I59" s="6" t="s">
        <v>294</v>
      </c>
      <c r="J59" s="4" t="s">
        <v>64</v>
      </c>
      <c r="K59" s="6" t="s">
        <v>295</v>
      </c>
      <c r="L59" s="4" t="s">
        <v>44</v>
      </c>
      <c r="M59" s="4" t="s">
        <v>154</v>
      </c>
      <c r="N59" s="4" t="s">
        <v>13</v>
      </c>
      <c r="O59" s="6"/>
    </row>
    <row r="60" spans="1:15" ht="15" customHeight="1">
      <c r="A60" s="4" t="s">
        <v>296</v>
      </c>
      <c r="B60" s="5" t="s">
        <v>14</v>
      </c>
      <c r="C60" s="6" t="s">
        <v>297</v>
      </c>
      <c r="D60" s="4" t="s">
        <v>36</v>
      </c>
      <c r="E60" s="5" t="s">
        <v>273</v>
      </c>
      <c r="F60" s="4" t="s">
        <v>82</v>
      </c>
      <c r="G60" s="4" t="s">
        <v>83</v>
      </c>
      <c r="H60" s="6" t="s">
        <v>222</v>
      </c>
      <c r="I60" s="6" t="s">
        <v>298</v>
      </c>
      <c r="J60" s="4" t="s">
        <v>64</v>
      </c>
      <c r="K60" s="6" t="s">
        <v>295</v>
      </c>
      <c r="L60" s="4" t="s">
        <v>44</v>
      </c>
      <c r="M60" s="4" t="s">
        <v>154</v>
      </c>
      <c r="N60" s="4" t="s">
        <v>13</v>
      </c>
      <c r="O60" s="6"/>
    </row>
    <row r="61" spans="1:15" ht="26.45" customHeight="1">
      <c r="A61" s="4" t="s">
        <v>299</v>
      </c>
      <c r="B61" s="5" t="s">
        <v>14</v>
      </c>
      <c r="C61" s="6" t="s">
        <v>300</v>
      </c>
      <c r="D61" s="4" t="s">
        <v>36</v>
      </c>
      <c r="E61" s="5" t="s">
        <v>273</v>
      </c>
      <c r="F61" s="4" t="s">
        <v>82</v>
      </c>
      <c r="G61" s="4" t="s">
        <v>83</v>
      </c>
      <c r="H61" s="6" t="s">
        <v>301</v>
      </c>
      <c r="I61" s="6" t="s">
        <v>302</v>
      </c>
      <c r="J61" s="4" t="s">
        <v>64</v>
      </c>
      <c r="K61" s="6" t="s">
        <v>303</v>
      </c>
      <c r="L61" s="4" t="s">
        <v>44</v>
      </c>
      <c r="M61" s="4" t="s">
        <v>145</v>
      </c>
      <c r="N61" s="4" t="s">
        <v>13</v>
      </c>
      <c r="O61" s="6"/>
    </row>
    <row r="62" spans="1:15" ht="26.45" customHeight="1">
      <c r="A62" s="4" t="s">
        <v>304</v>
      </c>
      <c r="B62" s="5" t="s">
        <v>14</v>
      </c>
      <c r="C62" s="6" t="s">
        <v>305</v>
      </c>
      <c r="D62" s="4" t="s">
        <v>36</v>
      </c>
      <c r="E62" s="5" t="s">
        <v>273</v>
      </c>
      <c r="F62" s="4" t="s">
        <v>82</v>
      </c>
      <c r="G62" s="4" t="s">
        <v>83</v>
      </c>
      <c r="H62" s="6" t="s">
        <v>306</v>
      </c>
      <c r="I62" s="6" t="s">
        <v>307</v>
      </c>
      <c r="J62" s="4" t="s">
        <v>126</v>
      </c>
      <c r="K62" s="6" t="s">
        <v>308</v>
      </c>
      <c r="L62" s="4" t="s">
        <v>44</v>
      </c>
      <c r="M62" s="4" t="s">
        <v>154</v>
      </c>
      <c r="N62" s="4" t="s">
        <v>13</v>
      </c>
      <c r="O62" s="6"/>
    </row>
    <row r="63" spans="1:15" ht="15" customHeight="1">
      <c r="A63" s="4" t="s">
        <v>309</v>
      </c>
      <c r="B63" s="5" t="s">
        <v>14</v>
      </c>
      <c r="C63" s="6" t="s">
        <v>310</v>
      </c>
      <c r="D63" s="4" t="s">
        <v>73</v>
      </c>
      <c r="E63" s="5" t="s">
        <v>273</v>
      </c>
      <c r="F63" s="4" t="s">
        <v>82</v>
      </c>
      <c r="G63" s="4" t="s">
        <v>98</v>
      </c>
      <c r="H63" s="6" t="s">
        <v>311</v>
      </c>
      <c r="I63" s="6" t="s">
        <v>76</v>
      </c>
      <c r="J63" s="4" t="s">
        <v>42</v>
      </c>
      <c r="K63" s="6" t="s">
        <v>312</v>
      </c>
      <c r="L63" s="4" t="s">
        <v>78</v>
      </c>
      <c r="M63" s="4" t="s">
        <v>45</v>
      </c>
      <c r="N63" s="4" t="s">
        <v>13</v>
      </c>
      <c r="O63" s="6"/>
    </row>
    <row r="64" spans="1:15" ht="15" customHeight="1">
      <c r="A64" s="4" t="s">
        <v>313</v>
      </c>
      <c r="B64" s="5" t="s">
        <v>14</v>
      </c>
      <c r="C64" s="6" t="s">
        <v>314</v>
      </c>
      <c r="D64" s="4" t="s">
        <v>73</v>
      </c>
      <c r="E64" s="5" t="s">
        <v>315</v>
      </c>
      <c r="F64" s="4" t="s">
        <v>82</v>
      </c>
      <c r="G64" s="4" t="s">
        <v>98</v>
      </c>
      <c r="H64" s="6" t="s">
        <v>311</v>
      </c>
      <c r="I64" s="6" t="s">
        <v>76</v>
      </c>
      <c r="J64" s="4" t="s">
        <v>42</v>
      </c>
      <c r="K64" s="6" t="s">
        <v>316</v>
      </c>
      <c r="L64" s="4" t="s">
        <v>78</v>
      </c>
      <c r="M64" s="4" t="s">
        <v>45</v>
      </c>
      <c r="N64" s="4" t="s">
        <v>13</v>
      </c>
      <c r="O64" s="6"/>
    </row>
    <row r="65" spans="1:15" ht="15" customHeight="1">
      <c r="A65" s="4" t="s">
        <v>317</v>
      </c>
      <c r="B65" s="5" t="s">
        <v>14</v>
      </c>
      <c r="C65" s="6" t="s">
        <v>318</v>
      </c>
      <c r="D65" s="4" t="s">
        <v>73</v>
      </c>
      <c r="E65" s="5" t="s">
        <v>319</v>
      </c>
      <c r="F65" s="4" t="s">
        <v>82</v>
      </c>
      <c r="G65" s="4" t="s">
        <v>98</v>
      </c>
      <c r="H65" s="6" t="s">
        <v>311</v>
      </c>
      <c r="I65" s="6" t="s">
        <v>76</v>
      </c>
      <c r="J65" s="4" t="s">
        <v>42</v>
      </c>
      <c r="K65" s="6" t="s">
        <v>320</v>
      </c>
      <c r="L65" s="4" t="s">
        <v>78</v>
      </c>
      <c r="M65" s="4" t="s">
        <v>45</v>
      </c>
      <c r="N65" s="4" t="s">
        <v>13</v>
      </c>
      <c r="O65" s="6"/>
    </row>
    <row r="66" spans="1:15" ht="15" customHeight="1">
      <c r="A66" s="4" t="s">
        <v>321</v>
      </c>
      <c r="B66" s="5" t="s">
        <v>14</v>
      </c>
      <c r="C66" s="6" t="s">
        <v>322</v>
      </c>
      <c r="D66" s="4" t="s">
        <v>73</v>
      </c>
      <c r="E66" s="5" t="s">
        <v>323</v>
      </c>
      <c r="F66" s="4" t="s">
        <v>82</v>
      </c>
      <c r="G66" s="4" t="s">
        <v>98</v>
      </c>
      <c r="H66" s="6" t="s">
        <v>324</v>
      </c>
      <c r="I66" s="6" t="s">
        <v>76</v>
      </c>
      <c r="J66" s="4" t="s">
        <v>42</v>
      </c>
      <c r="K66" s="6" t="s">
        <v>325</v>
      </c>
      <c r="L66" s="4" t="s">
        <v>78</v>
      </c>
      <c r="M66" s="4" t="s">
        <v>45</v>
      </c>
      <c r="N66" s="4" t="s">
        <v>13</v>
      </c>
      <c r="O66" s="6"/>
    </row>
    <row r="67" spans="1:15" ht="15" customHeight="1">
      <c r="A67" s="4" t="s">
        <v>326</v>
      </c>
      <c r="B67" s="5" t="s">
        <v>14</v>
      </c>
      <c r="C67" s="6" t="s">
        <v>327</v>
      </c>
      <c r="D67" s="4" t="s">
        <v>73</v>
      </c>
      <c r="E67" s="5" t="s">
        <v>328</v>
      </c>
      <c r="F67" s="4" t="s">
        <v>82</v>
      </c>
      <c r="G67" s="4" t="s">
        <v>98</v>
      </c>
      <c r="H67" s="6" t="s">
        <v>329</v>
      </c>
      <c r="I67" s="6" t="s">
        <v>76</v>
      </c>
      <c r="J67" s="4" t="s">
        <v>120</v>
      </c>
      <c r="K67" s="6" t="s">
        <v>121</v>
      </c>
      <c r="L67" s="4" t="s">
        <v>78</v>
      </c>
      <c r="M67" s="4" t="s">
        <v>57</v>
      </c>
      <c r="N67" s="4" t="s">
        <v>13</v>
      </c>
      <c r="O67" s="6"/>
    </row>
    <row r="68" spans="1:15" ht="15" customHeight="1">
      <c r="A68" s="4" t="s">
        <v>330</v>
      </c>
      <c r="B68" s="5" t="s">
        <v>16</v>
      </c>
      <c r="C68" s="6" t="s">
        <v>331</v>
      </c>
      <c r="D68" s="4" t="s">
        <v>73</v>
      </c>
      <c r="E68" s="5" t="s">
        <v>332</v>
      </c>
      <c r="F68" s="4" t="s">
        <v>82</v>
      </c>
      <c r="G68" s="4" t="s">
        <v>83</v>
      </c>
      <c r="H68" s="6" t="s">
        <v>84</v>
      </c>
      <c r="I68" s="6" t="s">
        <v>76</v>
      </c>
      <c r="J68" s="4" t="s">
        <v>42</v>
      </c>
      <c r="K68" s="6" t="s">
        <v>333</v>
      </c>
      <c r="L68" s="4" t="s">
        <v>44</v>
      </c>
      <c r="M68" s="4" t="s">
        <v>45</v>
      </c>
      <c r="N68" s="4" t="s">
        <v>13</v>
      </c>
      <c r="O68" s="6"/>
    </row>
    <row r="69" spans="1:15" ht="15" customHeight="1">
      <c r="A69" s="4" t="s">
        <v>334</v>
      </c>
      <c r="B69" s="5" t="s">
        <v>16</v>
      </c>
      <c r="C69" s="6" t="s">
        <v>335</v>
      </c>
      <c r="D69" s="4" t="s">
        <v>73</v>
      </c>
      <c r="E69" s="5" t="s">
        <v>332</v>
      </c>
      <c r="F69" s="4" t="s">
        <v>82</v>
      </c>
      <c r="G69" s="4" t="s">
        <v>88</v>
      </c>
      <c r="H69" s="6" t="s">
        <v>89</v>
      </c>
      <c r="I69" s="6" t="s">
        <v>76</v>
      </c>
      <c r="J69" s="4" t="s">
        <v>42</v>
      </c>
      <c r="K69" s="6" t="s">
        <v>333</v>
      </c>
      <c r="L69" s="4" t="s">
        <v>44</v>
      </c>
      <c r="M69" s="4" t="s">
        <v>45</v>
      </c>
      <c r="N69" s="4" t="s">
        <v>13</v>
      </c>
      <c r="O69" s="6"/>
    </row>
    <row r="70" spans="1:15" ht="15" customHeight="1">
      <c r="A70" s="4" t="s">
        <v>336</v>
      </c>
      <c r="B70" s="5" t="s">
        <v>16</v>
      </c>
      <c r="C70" s="6" t="s">
        <v>337</v>
      </c>
      <c r="D70" s="4" t="s">
        <v>73</v>
      </c>
      <c r="E70" s="5" t="s">
        <v>332</v>
      </c>
      <c r="F70" s="4" t="s">
        <v>38</v>
      </c>
      <c r="G70" s="4" t="s">
        <v>53</v>
      </c>
      <c r="H70" s="6" t="s">
        <v>93</v>
      </c>
      <c r="I70" s="6" t="s">
        <v>76</v>
      </c>
      <c r="J70" s="4" t="s">
        <v>55</v>
      </c>
      <c r="K70" s="6" t="s">
        <v>94</v>
      </c>
      <c r="L70" s="4" t="s">
        <v>44</v>
      </c>
      <c r="M70" s="4" t="s">
        <v>6</v>
      </c>
      <c r="N70" s="4" t="s">
        <v>13</v>
      </c>
      <c r="O70" s="6"/>
    </row>
    <row r="71" spans="1:15" ht="26.45" customHeight="1">
      <c r="A71" s="4" t="s">
        <v>338</v>
      </c>
      <c r="B71" s="5" t="s">
        <v>16</v>
      </c>
      <c r="C71" s="6" t="s">
        <v>339</v>
      </c>
      <c r="D71" s="4" t="s">
        <v>73</v>
      </c>
      <c r="E71" s="5" t="s">
        <v>332</v>
      </c>
      <c r="F71" s="4" t="s">
        <v>82</v>
      </c>
      <c r="G71" s="4" t="s">
        <v>98</v>
      </c>
      <c r="H71" s="6" t="s">
        <v>340</v>
      </c>
      <c r="I71" s="6" t="s">
        <v>76</v>
      </c>
      <c r="J71" s="4" t="s">
        <v>42</v>
      </c>
      <c r="K71" s="6" t="s">
        <v>341</v>
      </c>
      <c r="L71" s="4" t="s">
        <v>44</v>
      </c>
      <c r="M71" s="4" t="s">
        <v>145</v>
      </c>
      <c r="N71" s="4" t="s">
        <v>13</v>
      </c>
      <c r="O71" s="6"/>
    </row>
    <row r="72" spans="1:15" ht="15" customHeight="1">
      <c r="A72" s="4" t="s">
        <v>342</v>
      </c>
      <c r="B72" s="5" t="s">
        <v>18</v>
      </c>
      <c r="C72" s="6" t="s">
        <v>343</v>
      </c>
      <c r="D72" s="4" t="s">
        <v>73</v>
      </c>
      <c r="E72" s="5" t="s">
        <v>344</v>
      </c>
      <c r="F72" s="4" t="s">
        <v>82</v>
      </c>
      <c r="G72" s="4" t="s">
        <v>83</v>
      </c>
      <c r="H72" s="6" t="s">
        <v>84</v>
      </c>
      <c r="I72" s="6" t="s">
        <v>76</v>
      </c>
      <c r="J72" s="4" t="s">
        <v>42</v>
      </c>
      <c r="K72" s="6" t="s">
        <v>345</v>
      </c>
      <c r="L72" s="4" t="s">
        <v>44</v>
      </c>
      <c r="M72" s="4" t="s">
        <v>45</v>
      </c>
      <c r="N72" s="4" t="s">
        <v>13</v>
      </c>
      <c r="O72" s="6"/>
    </row>
    <row r="73" spans="1:15" ht="15" customHeight="1">
      <c r="A73" s="4" t="s">
        <v>346</v>
      </c>
      <c r="B73" s="5" t="s">
        <v>18</v>
      </c>
      <c r="C73" s="6" t="s">
        <v>347</v>
      </c>
      <c r="D73" s="4" t="s">
        <v>73</v>
      </c>
      <c r="E73" s="5" t="s">
        <v>344</v>
      </c>
      <c r="F73" s="4" t="s">
        <v>82</v>
      </c>
      <c r="G73" s="4" t="s">
        <v>88</v>
      </c>
      <c r="H73" s="6" t="s">
        <v>89</v>
      </c>
      <c r="I73" s="6" t="s">
        <v>76</v>
      </c>
      <c r="J73" s="4" t="s">
        <v>42</v>
      </c>
      <c r="K73" s="6" t="s">
        <v>345</v>
      </c>
      <c r="L73" s="4" t="s">
        <v>44</v>
      </c>
      <c r="M73" s="4" t="s">
        <v>45</v>
      </c>
      <c r="N73" s="4" t="s">
        <v>13</v>
      </c>
      <c r="O73" s="6"/>
    </row>
    <row r="74" spans="1:15" ht="15" customHeight="1">
      <c r="A74" s="4" t="s">
        <v>348</v>
      </c>
      <c r="B74" s="5" t="s">
        <v>18</v>
      </c>
      <c r="C74" s="6" t="s">
        <v>349</v>
      </c>
      <c r="D74" s="4" t="s">
        <v>73</v>
      </c>
      <c r="E74" s="5" t="s">
        <v>344</v>
      </c>
      <c r="F74" s="4" t="s">
        <v>38</v>
      </c>
      <c r="G74" s="4" t="s">
        <v>53</v>
      </c>
      <c r="H74" s="6" t="s">
        <v>93</v>
      </c>
      <c r="I74" s="6" t="s">
        <v>76</v>
      </c>
      <c r="J74" s="4" t="s">
        <v>55</v>
      </c>
      <c r="K74" s="6" t="s">
        <v>94</v>
      </c>
      <c r="L74" s="4" t="s">
        <v>44</v>
      </c>
      <c r="M74" s="4" t="s">
        <v>6</v>
      </c>
      <c r="N74" s="4" t="s">
        <v>13</v>
      </c>
      <c r="O74" s="6"/>
    </row>
    <row r="75" spans="1:15" ht="15" customHeight="1">
      <c r="A75" s="4" t="s">
        <v>350</v>
      </c>
      <c r="B75" s="5" t="s">
        <v>18</v>
      </c>
      <c r="C75" s="6" t="s">
        <v>351</v>
      </c>
      <c r="D75" s="4" t="s">
        <v>73</v>
      </c>
      <c r="E75" s="5" t="s">
        <v>352</v>
      </c>
      <c r="F75" s="4" t="s">
        <v>82</v>
      </c>
      <c r="G75" s="4" t="s">
        <v>98</v>
      </c>
      <c r="H75" s="6" t="s">
        <v>353</v>
      </c>
      <c r="I75" s="6" t="s">
        <v>76</v>
      </c>
      <c r="J75" s="4" t="s">
        <v>42</v>
      </c>
      <c r="K75" s="6" t="s">
        <v>354</v>
      </c>
      <c r="L75" s="4" t="s">
        <v>78</v>
      </c>
      <c r="M75" s="4" t="s">
        <v>45</v>
      </c>
      <c r="N75" s="4" t="s">
        <v>13</v>
      </c>
      <c r="O75" s="6"/>
    </row>
    <row r="76" spans="1:15" ht="15" customHeight="1">
      <c r="A76" s="4" t="s">
        <v>355</v>
      </c>
      <c r="B76" s="5" t="s">
        <v>18</v>
      </c>
      <c r="C76" s="6" t="s">
        <v>356</v>
      </c>
      <c r="D76" s="4" t="s">
        <v>73</v>
      </c>
      <c r="E76" s="5" t="s">
        <v>357</v>
      </c>
      <c r="F76" s="4" t="s">
        <v>82</v>
      </c>
      <c r="G76" s="4" t="s">
        <v>98</v>
      </c>
      <c r="H76" s="6" t="s">
        <v>358</v>
      </c>
      <c r="I76" s="6" t="s">
        <v>76</v>
      </c>
      <c r="J76" s="4" t="s">
        <v>42</v>
      </c>
      <c r="K76" s="6" t="s">
        <v>359</v>
      </c>
      <c r="L76" s="4" t="s">
        <v>78</v>
      </c>
      <c r="M76" s="4" t="s">
        <v>45</v>
      </c>
      <c r="N76" s="4" t="s">
        <v>13</v>
      </c>
      <c r="O76" s="6"/>
    </row>
    <row r="77" spans="1:15" ht="15" customHeight="1">
      <c r="A77" s="4" t="s">
        <v>360</v>
      </c>
      <c r="B77" s="5" t="s">
        <v>18</v>
      </c>
      <c r="C77" s="6" t="s">
        <v>361</v>
      </c>
      <c r="D77" s="4" t="s">
        <v>73</v>
      </c>
      <c r="E77" s="5" t="s">
        <v>362</v>
      </c>
      <c r="F77" s="4" t="s">
        <v>82</v>
      </c>
      <c r="G77" s="4" t="s">
        <v>98</v>
      </c>
      <c r="H77" s="6" t="s">
        <v>363</v>
      </c>
      <c r="I77" s="6" t="s">
        <v>76</v>
      </c>
      <c r="J77" s="4" t="s">
        <v>42</v>
      </c>
      <c r="K77" s="6" t="s">
        <v>364</v>
      </c>
      <c r="L77" s="4" t="s">
        <v>78</v>
      </c>
      <c r="M77" s="4" t="s">
        <v>45</v>
      </c>
      <c r="N77" s="4" t="s">
        <v>13</v>
      </c>
      <c r="O77" s="6"/>
    </row>
    <row r="78" spans="1:15" ht="15" customHeight="1">
      <c r="A78" s="4" t="s">
        <v>365</v>
      </c>
      <c r="B78" s="5" t="s">
        <v>18</v>
      </c>
      <c r="C78" s="6" t="s">
        <v>366</v>
      </c>
      <c r="D78" s="4" t="s">
        <v>73</v>
      </c>
      <c r="E78" s="5" t="s">
        <v>367</v>
      </c>
      <c r="F78" s="4" t="s">
        <v>82</v>
      </c>
      <c r="G78" s="4" t="s">
        <v>98</v>
      </c>
      <c r="H78" s="6" t="s">
        <v>368</v>
      </c>
      <c r="I78" s="6" t="s">
        <v>76</v>
      </c>
      <c r="J78" s="4" t="s">
        <v>42</v>
      </c>
      <c r="K78" s="6" t="s">
        <v>369</v>
      </c>
      <c r="L78" s="4" t="s">
        <v>78</v>
      </c>
      <c r="M78" s="4" t="s">
        <v>45</v>
      </c>
      <c r="N78" s="4" t="s">
        <v>13</v>
      </c>
      <c r="O78" s="6"/>
    </row>
    <row r="79" spans="1:15" ht="15" customHeight="1">
      <c r="A79" s="4" t="s">
        <v>370</v>
      </c>
      <c r="B79" s="5" t="s">
        <v>18</v>
      </c>
      <c r="C79" s="6" t="s">
        <v>371</v>
      </c>
      <c r="D79" s="4" t="s">
        <v>73</v>
      </c>
      <c r="E79" s="5" t="s">
        <v>372</v>
      </c>
      <c r="F79" s="4" t="s">
        <v>82</v>
      </c>
      <c r="G79" s="4" t="s">
        <v>98</v>
      </c>
      <c r="H79" s="6" t="s">
        <v>373</v>
      </c>
      <c r="I79" s="6" t="s">
        <v>76</v>
      </c>
      <c r="J79" s="4" t="s">
        <v>64</v>
      </c>
      <c r="K79" s="6" t="s">
        <v>374</v>
      </c>
      <c r="L79" s="4" t="s">
        <v>78</v>
      </c>
      <c r="M79" s="4" t="s">
        <v>66</v>
      </c>
      <c r="N79" s="4" t="s">
        <v>13</v>
      </c>
      <c r="O79" s="6"/>
    </row>
    <row r="80" spans="1:15" ht="15" customHeight="1">
      <c r="A80" s="4" t="s">
        <v>375</v>
      </c>
      <c r="B80" s="5" t="s">
        <v>6</v>
      </c>
      <c r="C80" s="6" t="s">
        <v>376</v>
      </c>
      <c r="D80" s="4" t="s">
        <v>73</v>
      </c>
      <c r="E80" s="5" t="s">
        <v>81</v>
      </c>
      <c r="F80" s="4" t="s">
        <v>82</v>
      </c>
      <c r="G80" s="4" t="s">
        <v>83</v>
      </c>
      <c r="H80" s="6" t="s">
        <v>84</v>
      </c>
      <c r="I80" s="6" t="s">
        <v>76</v>
      </c>
      <c r="J80" s="4" t="s">
        <v>42</v>
      </c>
      <c r="K80" s="6" t="s">
        <v>377</v>
      </c>
      <c r="L80" s="4" t="s">
        <v>78</v>
      </c>
      <c r="M80" s="4" t="s">
        <v>45</v>
      </c>
      <c r="N80" s="4" t="s">
        <v>13</v>
      </c>
      <c r="O80" s="6"/>
    </row>
    <row r="81" spans="1:15" ht="26.45" customHeight="1">
      <c r="A81" s="4" t="s">
        <v>378</v>
      </c>
      <c r="B81" s="5" t="s">
        <v>6</v>
      </c>
      <c r="C81" s="6" t="s">
        <v>379</v>
      </c>
      <c r="D81" s="4" t="s">
        <v>73</v>
      </c>
      <c r="E81" s="5" t="s">
        <v>118</v>
      </c>
      <c r="F81" s="4" t="s">
        <v>82</v>
      </c>
      <c r="G81" s="4" t="s">
        <v>83</v>
      </c>
      <c r="H81" s="6" t="s">
        <v>380</v>
      </c>
      <c r="I81" s="6" t="s">
        <v>76</v>
      </c>
      <c r="J81" s="4" t="s">
        <v>120</v>
      </c>
      <c r="K81" s="6" t="s">
        <v>381</v>
      </c>
      <c r="L81" s="4" t="s">
        <v>78</v>
      </c>
      <c r="M81" s="4" t="s">
        <v>57</v>
      </c>
      <c r="N81" s="4" t="s">
        <v>13</v>
      </c>
      <c r="O81" s="6"/>
    </row>
  </sheetData>
  <conditionalFormatting sqref="L2:L81">
    <cfRule type="expression" dxfId="14" priority="1">
      <formula>L2="High"</formula>
    </cfRule>
    <cfRule type="expression" dxfId="13" priority="2">
      <formula>L2="Medium"</formula>
    </cfRule>
    <cfRule type="expression" dxfId="12" priority="3">
      <formula>L2="Low"</formula>
    </cfRule>
  </conditionalFormatting>
  <conditionalFormatting sqref="N2:N81">
    <cfRule type="expression" dxfId="11" priority="4">
      <formula>N2="Pass"</formula>
    </cfRule>
    <cfRule type="expression" dxfId="10" priority="5">
      <formula>N2="Fail"</formula>
    </cfRule>
    <cfRule type="expression" dxfId="9" priority="6">
      <formula>N2="Blocked"</formula>
    </cfRule>
    <cfRule type="expression" dxfId="8" priority="7">
      <formula>N2="Not Run"</formula>
    </cfRule>
  </conditionalFormatting>
  <conditionalFormatting sqref="D2:D81">
    <cfRule type="expression" dxfId="7" priority="8">
      <formula>D2="GET"</formula>
    </cfRule>
    <cfRule type="expression" dxfId="6" priority="9">
      <formula>D2="POST"</formula>
    </cfRule>
    <cfRule type="expression" dxfId="5" priority="10">
      <formula>D2="PUT"</formula>
    </cfRule>
    <cfRule type="expression" dxfId="4" priority="11">
      <formula>D2="DELETE"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>
          <x14:formula1>
            <xm:f>Lists!$C$2:$C$5</xm:f>
          </x14:formula1>
          <xm:sqref>D2:D280</xm:sqref>
        </x14:dataValidation>
        <x14:dataValidation type="list">
          <x14:formula1>
            <xm:f>Lists!$B$2:$B$4</xm:f>
          </x14:formula1>
          <xm:sqref>L2:L280</xm:sqref>
        </x14:dataValidation>
        <x14:dataValidation type="list">
          <x14:formula1>
            <xm:f>Lists!$D$2:$D$8</xm:f>
          </x14:formula1>
          <xm:sqref>M2:M280</xm:sqref>
        </x14:dataValidation>
        <x14:dataValidation type="list">
          <x14:formula1>
            <xm:f>Lists!$A$2:$A$6</xm:f>
          </x14:formula1>
          <xm:sqref>N2:N280</xm:sqref>
        </x14:dataValidation>
        <x14:dataValidation type="list">
          <x14:formula1>
            <xm:f>Lists!$E$2:$E$9</xm:f>
          </x14:formula1>
          <xm:sqref>B2:B280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4.25"/>
  <cols>
    <col min="1" max="1" width="16" customWidth="1"/>
    <col min="2" max="2" width="20" customWidth="1"/>
    <col min="3" max="3" width="52" customWidth="1"/>
    <col min="4" max="4" width="50" customWidth="1"/>
    <col min="5" max="5" width="14" customWidth="1"/>
    <col min="6" max="6" width="30" customWidth="1"/>
  </cols>
  <sheetData>
    <row r="1" spans="1:6" ht="15" customHeight="1">
      <c r="A1" s="7" t="s">
        <v>382</v>
      </c>
      <c r="B1" s="7" t="s">
        <v>383</v>
      </c>
      <c r="C1" s="7" t="s">
        <v>384</v>
      </c>
      <c r="D1" s="7" t="s">
        <v>29</v>
      </c>
      <c r="E1" s="7" t="s">
        <v>385</v>
      </c>
      <c r="F1" s="7" t="s">
        <v>33</v>
      </c>
    </row>
    <row r="2" spans="1:6" ht="15" customHeight="1">
      <c r="A2" t="s">
        <v>386</v>
      </c>
      <c r="B2" t="s">
        <v>6</v>
      </c>
      <c r="C2" s="1" t="s">
        <v>387</v>
      </c>
      <c r="D2" s="1" t="s">
        <v>388</v>
      </c>
      <c r="E2" t="s">
        <v>13</v>
      </c>
      <c r="F2" s="1"/>
    </row>
    <row r="3" spans="1:6" ht="26.45" customHeight="1">
      <c r="A3" t="s">
        <v>389</v>
      </c>
      <c r="B3" t="s">
        <v>6</v>
      </c>
      <c r="C3" s="1" t="s">
        <v>390</v>
      </c>
      <c r="D3" s="1" t="s">
        <v>391</v>
      </c>
      <c r="E3" t="s">
        <v>13</v>
      </c>
      <c r="F3" s="1"/>
    </row>
    <row r="4" spans="1:6" ht="15" customHeight="1">
      <c r="A4" t="s">
        <v>392</v>
      </c>
      <c r="B4" t="s">
        <v>6</v>
      </c>
      <c r="C4" s="1" t="s">
        <v>393</v>
      </c>
      <c r="D4" s="1" t="s">
        <v>394</v>
      </c>
      <c r="E4" t="s">
        <v>13</v>
      </c>
      <c r="F4" s="1"/>
    </row>
    <row r="5" spans="1:6" ht="15" customHeight="1">
      <c r="A5" t="s">
        <v>395</v>
      </c>
      <c r="B5" t="s">
        <v>133</v>
      </c>
      <c r="C5" s="1" t="s">
        <v>396</v>
      </c>
      <c r="D5" s="1" t="s">
        <v>397</v>
      </c>
      <c r="E5" t="s">
        <v>13</v>
      </c>
      <c r="F5" s="1"/>
    </row>
    <row r="6" spans="1:6" ht="15" customHeight="1">
      <c r="A6" t="s">
        <v>398</v>
      </c>
      <c r="B6" t="s">
        <v>399</v>
      </c>
      <c r="C6" s="1" t="s">
        <v>400</v>
      </c>
      <c r="D6" s="1" t="s">
        <v>377</v>
      </c>
      <c r="E6" t="s">
        <v>13</v>
      </c>
      <c r="F6" s="1"/>
    </row>
    <row r="7" spans="1:6" ht="15" customHeight="1">
      <c r="A7" t="s">
        <v>401</v>
      </c>
      <c r="B7" t="s">
        <v>399</v>
      </c>
      <c r="C7" s="1" t="s">
        <v>402</v>
      </c>
      <c r="D7" s="1" t="s">
        <v>403</v>
      </c>
      <c r="E7" t="s">
        <v>13</v>
      </c>
      <c r="F7" s="1"/>
    </row>
    <row r="8" spans="1:6" ht="15" customHeight="1">
      <c r="A8" t="s">
        <v>404</v>
      </c>
      <c r="B8" t="s">
        <v>405</v>
      </c>
      <c r="C8" s="1" t="s">
        <v>406</v>
      </c>
      <c r="D8" s="1" t="s">
        <v>407</v>
      </c>
      <c r="E8" t="s">
        <v>13</v>
      </c>
      <c r="F8" s="1"/>
    </row>
    <row r="9" spans="1:6" ht="15" customHeight="1">
      <c r="A9" t="s">
        <v>408</v>
      </c>
      <c r="B9" t="s">
        <v>405</v>
      </c>
      <c r="C9" s="1" t="s">
        <v>409</v>
      </c>
      <c r="D9" s="1" t="s">
        <v>410</v>
      </c>
      <c r="E9" t="s">
        <v>13</v>
      </c>
      <c r="F9" s="1"/>
    </row>
    <row r="10" spans="1:6" ht="15" customHeight="1">
      <c r="A10" t="s">
        <v>411</v>
      </c>
      <c r="B10" t="s">
        <v>405</v>
      </c>
      <c r="C10" s="1" t="s">
        <v>412</v>
      </c>
      <c r="D10" s="1" t="s">
        <v>413</v>
      </c>
      <c r="E10" t="s">
        <v>13</v>
      </c>
      <c r="F10" s="1"/>
    </row>
    <row r="11" spans="1:6" ht="15" customHeight="1">
      <c r="A11" t="s">
        <v>414</v>
      </c>
      <c r="B11" t="s">
        <v>405</v>
      </c>
      <c r="C11" s="1" t="s">
        <v>415</v>
      </c>
      <c r="D11" s="1" t="s">
        <v>416</v>
      </c>
      <c r="E11" t="s">
        <v>13</v>
      </c>
      <c r="F11" s="1"/>
    </row>
    <row r="12" spans="1:6" ht="15" customHeight="1">
      <c r="A12" t="s">
        <v>417</v>
      </c>
      <c r="B12" t="s">
        <v>12</v>
      </c>
      <c r="C12" s="1" t="s">
        <v>418</v>
      </c>
      <c r="D12" s="1" t="s">
        <v>419</v>
      </c>
      <c r="E12" t="s">
        <v>13</v>
      </c>
      <c r="F12" s="1"/>
    </row>
    <row r="13" spans="1:6" ht="15" customHeight="1">
      <c r="A13" t="s">
        <v>420</v>
      </c>
      <c r="B13" t="s">
        <v>12</v>
      </c>
      <c r="C13" s="1" t="s">
        <v>421</v>
      </c>
      <c r="D13" s="1" t="s">
        <v>422</v>
      </c>
      <c r="E13" t="s">
        <v>13</v>
      </c>
      <c r="F13" s="1"/>
    </row>
    <row r="14" spans="1:6" ht="15" customHeight="1">
      <c r="A14" t="s">
        <v>423</v>
      </c>
      <c r="B14" t="s">
        <v>14</v>
      </c>
      <c r="C14" s="1" t="s">
        <v>424</v>
      </c>
      <c r="D14" s="1" t="s">
        <v>425</v>
      </c>
      <c r="E14" t="s">
        <v>13</v>
      </c>
      <c r="F14" s="1"/>
    </row>
    <row r="15" spans="1:6" ht="15" customHeight="1">
      <c r="A15" t="s">
        <v>426</v>
      </c>
      <c r="B15" t="s">
        <v>14</v>
      </c>
      <c r="C15" s="1" t="s">
        <v>427</v>
      </c>
      <c r="D15" s="1" t="s">
        <v>428</v>
      </c>
      <c r="E15" t="s">
        <v>13</v>
      </c>
      <c r="F15" s="1"/>
    </row>
    <row r="16" spans="1:6" ht="15" customHeight="1">
      <c r="A16" t="s">
        <v>429</v>
      </c>
      <c r="B16" t="s">
        <v>14</v>
      </c>
      <c r="C16" s="1" t="s">
        <v>430</v>
      </c>
      <c r="D16" s="1" t="s">
        <v>431</v>
      </c>
      <c r="E16" t="s">
        <v>13</v>
      </c>
      <c r="F16" s="1"/>
    </row>
    <row r="17" spans="1:6" ht="15" customHeight="1">
      <c r="A17" t="s">
        <v>432</v>
      </c>
      <c r="B17" t="s">
        <v>16</v>
      </c>
      <c r="C17" s="1" t="s">
        <v>433</v>
      </c>
      <c r="D17" s="1" t="s">
        <v>434</v>
      </c>
      <c r="E17" t="s">
        <v>13</v>
      </c>
      <c r="F17" s="1"/>
    </row>
    <row r="18" spans="1:6" ht="15" customHeight="1">
      <c r="A18" t="s">
        <v>435</v>
      </c>
      <c r="B18" t="s">
        <v>18</v>
      </c>
      <c r="C18" s="1" t="s">
        <v>436</v>
      </c>
      <c r="D18" s="1" t="s">
        <v>437</v>
      </c>
      <c r="E18" t="s">
        <v>13</v>
      </c>
      <c r="F18" s="1"/>
    </row>
    <row r="19" spans="1:6" ht="15" customHeight="1">
      <c r="A19" t="s">
        <v>438</v>
      </c>
      <c r="B19" t="s">
        <v>439</v>
      </c>
      <c r="C19" s="1" t="s">
        <v>440</v>
      </c>
      <c r="D19" s="1" t="s">
        <v>441</v>
      </c>
      <c r="E19" t="s">
        <v>13</v>
      </c>
      <c r="F19" s="1"/>
    </row>
  </sheetData>
  <conditionalFormatting sqref="E2:E19">
    <cfRule type="expression" dxfId="3" priority="1">
      <formula>E2="Pass"</formula>
    </cfRule>
    <cfRule type="expression" dxfId="2" priority="2">
      <formula>E2="Fail"</formula>
    </cfRule>
    <cfRule type="expression" dxfId="1" priority="3">
      <formula>E2="Blocked"</formula>
    </cfRule>
    <cfRule type="expression" dxfId="0" priority="4">
      <formula>E2="Not Run"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Lists!$A$2:$A$6</xm:f>
          </x14:formula1>
          <xm:sqref>E2:E68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4.25"/>
  <cols>
    <col min="1" max="1" width="16" customWidth="1"/>
    <col min="2" max="2" width="18" customWidth="1"/>
    <col min="3" max="3" width="28" customWidth="1"/>
    <col min="4" max="4" width="50" customWidth="1"/>
    <col min="5" max="5" width="42" customWidth="1"/>
  </cols>
  <sheetData>
    <row r="1" spans="1:5" ht="15" customHeight="1">
      <c r="A1" s="7" t="s">
        <v>442</v>
      </c>
      <c r="B1" s="7" t="s">
        <v>443</v>
      </c>
      <c r="C1" s="7" t="s">
        <v>444</v>
      </c>
      <c r="D1" s="7" t="s">
        <v>445</v>
      </c>
      <c r="E1" s="7" t="s">
        <v>446</v>
      </c>
    </row>
    <row r="2" spans="1:5" ht="15" customHeight="1">
      <c r="A2" t="s">
        <v>447</v>
      </c>
      <c r="B2" t="s">
        <v>448</v>
      </c>
      <c r="C2" t="s">
        <v>449</v>
      </c>
      <c r="D2" s="1" t="s">
        <v>450</v>
      </c>
      <c r="E2" s="1" t="s">
        <v>451</v>
      </c>
    </row>
    <row r="3" spans="1:5" ht="15" customHeight="1">
      <c r="A3" t="s">
        <v>452</v>
      </c>
      <c r="B3" t="s">
        <v>448</v>
      </c>
      <c r="C3" t="s">
        <v>453</v>
      </c>
      <c r="D3" s="1" t="s">
        <v>454</v>
      </c>
      <c r="E3" s="1" t="s">
        <v>455</v>
      </c>
    </row>
    <row r="4" spans="1:5" ht="15" customHeight="1">
      <c r="A4" t="s">
        <v>456</v>
      </c>
      <c r="B4" t="s">
        <v>405</v>
      </c>
      <c r="C4" t="s">
        <v>457</v>
      </c>
      <c r="D4" s="1" t="s">
        <v>458</v>
      </c>
      <c r="E4" s="1" t="s">
        <v>459</v>
      </c>
    </row>
    <row r="5" spans="1:5" ht="15" customHeight="1">
      <c r="A5" t="s">
        <v>460</v>
      </c>
      <c r="B5" t="s">
        <v>405</v>
      </c>
      <c r="C5" t="s">
        <v>461</v>
      </c>
      <c r="D5" s="1" t="s">
        <v>462</v>
      </c>
      <c r="E5" s="1" t="s">
        <v>463</v>
      </c>
    </row>
    <row r="6" spans="1:5" ht="15" customHeight="1">
      <c r="A6" t="s">
        <v>464</v>
      </c>
      <c r="B6" t="s">
        <v>405</v>
      </c>
      <c r="C6" t="s">
        <v>465</v>
      </c>
      <c r="D6" s="1" t="s">
        <v>466</v>
      </c>
      <c r="E6" s="1" t="s">
        <v>467</v>
      </c>
    </row>
    <row r="7" spans="1:5" ht="15" customHeight="1">
      <c r="A7" t="s">
        <v>468</v>
      </c>
      <c r="B7" t="s">
        <v>405</v>
      </c>
      <c r="C7" t="s">
        <v>469</v>
      </c>
      <c r="D7" s="1" t="s">
        <v>470</v>
      </c>
      <c r="E7" s="1" t="s">
        <v>471</v>
      </c>
    </row>
    <row r="8" spans="1:5" ht="26.45" customHeight="1">
      <c r="A8" t="s">
        <v>472</v>
      </c>
      <c r="B8" t="s">
        <v>473</v>
      </c>
      <c r="C8" t="s">
        <v>474</v>
      </c>
      <c r="D8" s="1" t="s">
        <v>475</v>
      </c>
      <c r="E8" s="1" t="s">
        <v>476</v>
      </c>
    </row>
    <row r="9" spans="1:5" ht="15" customHeight="1">
      <c r="A9" t="s">
        <v>477</v>
      </c>
      <c r="B9" t="s">
        <v>473</v>
      </c>
      <c r="C9" t="s">
        <v>478</v>
      </c>
      <c r="D9" s="1" t="s">
        <v>479</v>
      </c>
      <c r="E9" s="1" t="s">
        <v>480</v>
      </c>
    </row>
    <row r="10" spans="1:5" ht="15" customHeight="1">
      <c r="A10" t="s">
        <v>481</v>
      </c>
      <c r="B10" t="s">
        <v>473</v>
      </c>
      <c r="C10" t="s">
        <v>482</v>
      </c>
      <c r="D10" s="1" t="s">
        <v>483</v>
      </c>
      <c r="E10" s="1" t="s">
        <v>484</v>
      </c>
    </row>
    <row r="11" spans="1:5" ht="15" customHeight="1">
      <c r="A11" t="s">
        <v>485</v>
      </c>
      <c r="B11" t="s">
        <v>486</v>
      </c>
      <c r="C11" t="s">
        <v>474</v>
      </c>
      <c r="D11" s="1" t="s">
        <v>487</v>
      </c>
      <c r="E11" s="1" t="s">
        <v>488</v>
      </c>
    </row>
    <row r="12" spans="1:5" ht="15" customHeight="1">
      <c r="A12" t="s">
        <v>489</v>
      </c>
      <c r="B12" t="s">
        <v>486</v>
      </c>
      <c r="C12" t="s">
        <v>490</v>
      </c>
      <c r="D12" s="1" t="s">
        <v>491</v>
      </c>
      <c r="E12" s="1" t="s">
        <v>488</v>
      </c>
    </row>
    <row r="13" spans="1:5" ht="15" customHeight="1">
      <c r="A13" t="s">
        <v>492</v>
      </c>
      <c r="B13" t="s">
        <v>385</v>
      </c>
      <c r="C13" t="s">
        <v>493</v>
      </c>
      <c r="D13" s="1" t="s">
        <v>494</v>
      </c>
      <c r="E13" s="1" t="s">
        <v>495</v>
      </c>
    </row>
    <row r="14" spans="1:5" ht="15" customHeight="1">
      <c r="A14" t="s">
        <v>496</v>
      </c>
      <c r="B14" t="s">
        <v>385</v>
      </c>
      <c r="C14" t="s">
        <v>497</v>
      </c>
      <c r="D14" s="1" t="s">
        <v>498</v>
      </c>
      <c r="E14" s="1" t="s">
        <v>499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4.25"/>
  <cols>
    <col min="1" max="5" width="22" customWidth="1"/>
  </cols>
  <sheetData>
    <row r="1" spans="1:5" ht="15" customHeight="1">
      <c r="A1" s="7" t="s">
        <v>385</v>
      </c>
      <c r="B1" s="7" t="s">
        <v>30</v>
      </c>
      <c r="C1" s="7" t="s">
        <v>22</v>
      </c>
      <c r="D1" s="7" t="s">
        <v>31</v>
      </c>
      <c r="E1" s="7" t="s">
        <v>3</v>
      </c>
    </row>
    <row r="2" spans="1:5" ht="15" customHeight="1">
      <c r="A2" t="s">
        <v>13</v>
      </c>
      <c r="B2" t="s">
        <v>44</v>
      </c>
      <c r="C2" t="s">
        <v>73</v>
      </c>
      <c r="D2" t="s">
        <v>45</v>
      </c>
      <c r="E2" t="s">
        <v>6</v>
      </c>
    </row>
    <row r="3" spans="1:5" ht="15" customHeight="1">
      <c r="A3" t="s">
        <v>15</v>
      </c>
      <c r="B3" t="s">
        <v>78</v>
      </c>
      <c r="C3" t="s">
        <v>36</v>
      </c>
      <c r="D3" t="s">
        <v>57</v>
      </c>
      <c r="E3" t="s">
        <v>8</v>
      </c>
    </row>
    <row r="4" spans="1:5" ht="15" customHeight="1">
      <c r="A4" t="s">
        <v>17</v>
      </c>
      <c r="B4" t="s">
        <v>500</v>
      </c>
      <c r="C4" t="s">
        <v>173</v>
      </c>
      <c r="D4" t="s">
        <v>66</v>
      </c>
      <c r="E4" t="s">
        <v>10</v>
      </c>
    </row>
    <row r="5" spans="1:5" ht="15" customHeight="1">
      <c r="A5" t="s">
        <v>501</v>
      </c>
      <c r="C5" t="s">
        <v>197</v>
      </c>
      <c r="D5" t="s">
        <v>6</v>
      </c>
      <c r="E5" t="s">
        <v>12</v>
      </c>
    </row>
    <row r="6" spans="1:5" ht="15" customHeight="1">
      <c r="A6" t="s">
        <v>76</v>
      </c>
      <c r="D6" t="s">
        <v>133</v>
      </c>
      <c r="E6" t="s">
        <v>14</v>
      </c>
    </row>
    <row r="7" spans="1:5" ht="15" customHeight="1">
      <c r="D7" t="s">
        <v>145</v>
      </c>
      <c r="E7" t="s">
        <v>16</v>
      </c>
    </row>
    <row r="8" spans="1:5" ht="15" customHeight="1">
      <c r="D8" t="s">
        <v>502</v>
      </c>
      <c r="E8" t="s">
        <v>18</v>
      </c>
    </row>
    <row r="9" spans="1:5" ht="15" customHeight="1">
      <c r="E9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API Test Cases</vt:lpstr>
      <vt:lpstr>API Checklist</vt:lpstr>
      <vt:lpstr>Test Data</vt:lpstr>
      <vt:lpstr>Lists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2026-06-23T10:33:50Z</dcterms:modified>
</cp:coreProperties>
</file>