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\PersonalProject\stockflow-testing-project\testing\02_test_scenarios\"/>
    </mc:Choice>
  </mc:AlternateContent>
  <bookViews>
    <workbookView xWindow="0" yWindow="0" windowWidth="21570" windowHeight="7965"/>
  </bookViews>
  <sheets>
    <sheet name="Test Scenarios" sheetId="1" r:id="rId1"/>
    <sheet name="Summary" sheetId="2" r:id="rId2"/>
    <sheet name="Lists" sheetId="3" r:id="rId3"/>
  </sheets>
  <calcPr calcId="152511"/>
</workbook>
</file>

<file path=xl/calcChain.xml><?xml version="1.0" encoding="utf-8"?>
<calcChain xmlns="http://schemas.openxmlformats.org/spreadsheetml/2006/main">
  <c r="E12" i="2" l="1"/>
  <c r="E11" i="2"/>
  <c r="E10" i="2"/>
  <c r="E9" i="2"/>
  <c r="E8" i="2"/>
  <c r="B8" i="2"/>
  <c r="E7" i="2"/>
  <c r="B7" i="2"/>
  <c r="E6" i="2"/>
  <c r="B6" i="2"/>
  <c r="E5" i="2"/>
  <c r="B5" i="2"/>
  <c r="E4" i="2"/>
  <c r="B4" i="2"/>
</calcChain>
</file>

<file path=xl/sharedStrings.xml><?xml version="1.0" encoding="utf-8"?>
<sst xmlns="http://schemas.openxmlformats.org/spreadsheetml/2006/main" count="672" uniqueCount="251">
  <si>
    <t>Scenario ID</t>
  </si>
  <si>
    <t>Module</t>
  </si>
  <si>
    <t>Test Scenario</t>
  </si>
  <si>
    <t>Priority</t>
  </si>
  <si>
    <t>Test Type</t>
  </si>
  <si>
    <t>Requirement ID</t>
  </si>
  <si>
    <t>Business Rule ID</t>
  </si>
  <si>
    <t>Status</t>
  </si>
  <si>
    <t>Notes</t>
  </si>
  <si>
    <t>TS-AUTH-001</t>
  </si>
  <si>
    <t>Authentication</t>
  </si>
  <si>
    <t>Verify user can access login page successfully</t>
  </si>
  <si>
    <t>High</t>
  </si>
  <si>
    <t>UI</t>
  </si>
  <si>
    <t>FR-AUTH-001</t>
  </si>
  <si>
    <t>Planned</t>
  </si>
  <si>
    <t>TS-AUTH-002</t>
  </si>
  <si>
    <t>Verify Admin can log in with valid credentials</t>
  </si>
  <si>
    <t>Functional</t>
  </si>
  <si>
    <t>TS-AUTH-003</t>
  </si>
  <si>
    <t>Verify Staff can log in with valid credentials</t>
  </si>
  <si>
    <t>TS-AUTH-004</t>
  </si>
  <si>
    <t>Verify login fails with invalid username</t>
  </si>
  <si>
    <t>Negative</t>
  </si>
  <si>
    <t>TS-AUTH-005</t>
  </si>
  <si>
    <t>Verify login fails with invalid password</t>
  </si>
  <si>
    <t>TS-AUTH-006</t>
  </si>
  <si>
    <t>Verify username and password are required</t>
  </si>
  <si>
    <t>Validation</t>
  </si>
  <si>
    <t>TS-AUTH-007</t>
  </si>
  <si>
    <t>Verify logged-in user can log out successfully</t>
  </si>
  <si>
    <t>FR-AUTH-002</t>
  </si>
  <si>
    <t>TS-AUTH-008</t>
  </si>
  <si>
    <t>Verify user cannot access protected pages without login</t>
  </si>
  <si>
    <t>Security</t>
  </si>
  <si>
    <t>BR-014</t>
  </si>
  <si>
    <t>TS-DASH-001</t>
  </si>
  <si>
    <t>Dashboard</t>
  </si>
  <si>
    <t>Verify dashboard page loads successfully after login</t>
  </si>
  <si>
    <t>FR-DASH-001</t>
  </si>
  <si>
    <t>TS-DASH-002</t>
  </si>
  <si>
    <t>Verify total products count is displayed correctly</t>
  </si>
  <si>
    <t>Medium</t>
  </si>
  <si>
    <t>TS-DASH-003</t>
  </si>
  <si>
    <t>Verify active and inactive product counts are displayed correctly</t>
  </si>
  <si>
    <t>TS-DASH-004</t>
  </si>
  <si>
    <t>Verify total stock quantity is displayed correctly</t>
  </si>
  <si>
    <t>TS-DASH-005</t>
  </si>
  <si>
    <t>Verify low-stock and out-of-stock product counts are displayed correctly</t>
  </si>
  <si>
    <t>BR-011, BR-012</t>
  </si>
  <si>
    <t>TS-DASH-006</t>
  </si>
  <si>
    <t>Verify refresh button reloads dashboard summary data</t>
  </si>
  <si>
    <t>Low</t>
  </si>
  <si>
    <t>TS-PROD-001</t>
  </si>
  <si>
    <t>Product Management</t>
  </si>
  <si>
    <t>Verify product list page loads successfully</t>
  </si>
  <si>
    <t>FR-PROD-001</t>
  </si>
  <si>
    <t>TS-PROD-002</t>
  </si>
  <si>
    <t>Verify product list displays product information correctly</t>
  </si>
  <si>
    <t>TS-PROD-003</t>
  </si>
  <si>
    <t>Verify Admin can create product with valid data</t>
  </si>
  <si>
    <t>FR-PROD-002</t>
  </si>
  <si>
    <t>TS-PROD-004</t>
  </si>
  <si>
    <t>Verify Staff cannot create product</t>
  </si>
  <si>
    <t>Role-Based Access</t>
  </si>
  <si>
    <t>BR-013, BR-015</t>
  </si>
  <si>
    <t>TS-PROD-005</t>
  </si>
  <si>
    <t>Verify product name is required when creating product</t>
  </si>
  <si>
    <t>BR-001</t>
  </si>
  <si>
    <t>TS-PROD-006</t>
  </si>
  <si>
    <t>Verify duplicate product name is rejected</t>
  </si>
  <si>
    <t>Business Rule</t>
  </si>
  <si>
    <t>TS-PROD-007</t>
  </si>
  <si>
    <t>Verify product category is required</t>
  </si>
  <si>
    <t>TS-PROD-008</t>
  </si>
  <si>
    <t>Verify product price must be greater than 0</t>
  </si>
  <si>
    <t>BR-002</t>
  </si>
  <si>
    <t>TS-PROD-009</t>
  </si>
  <si>
    <t>Verify product initial quantity must be greater than or equal to 0</t>
  </si>
  <si>
    <t>BR-003</t>
  </si>
  <si>
    <t>TS-PROD-010</t>
  </si>
  <si>
    <t>Verify Admin can update product information</t>
  </si>
  <si>
    <t>FR-PROD-003</t>
  </si>
  <si>
    <t>TS-PROD-011</t>
  </si>
  <si>
    <t>Verify product quantity cannot be edited directly from product update screen</t>
  </si>
  <si>
    <t>BR-004</t>
  </si>
  <si>
    <t>TS-PROD-012</t>
  </si>
  <si>
    <t>Verify Admin can change product status</t>
  </si>
  <si>
    <t>FR-PROD-005</t>
  </si>
  <si>
    <t>TS-PROD-013</t>
  </si>
  <si>
    <t>Verify Admin can delete product with quantity 0 and no transaction history</t>
  </si>
  <si>
    <t>FR-PROD-004</t>
  </si>
  <si>
    <t>TS-PROD-014</t>
  </si>
  <si>
    <t>Verify Admin cannot delete product with quantity greater than 0</t>
  </si>
  <si>
    <t>BR-009</t>
  </si>
  <si>
    <t>TS-PROD-015</t>
  </si>
  <si>
    <t>Verify Admin cannot delete product with stock-in or stock-out history</t>
  </si>
  <si>
    <t>BR-010</t>
  </si>
  <si>
    <t>TS-PROD-016</t>
  </si>
  <si>
    <t>Verify search product by name works correctly</t>
  </si>
  <si>
    <t>TS-PROD-017</t>
  </si>
  <si>
    <t>Verify filter product by category and status works correctly</t>
  </si>
  <si>
    <t>TS-STIN-001</t>
  </si>
  <si>
    <t>Stock-In</t>
  </si>
  <si>
    <t>Verify stock-in page loads successfully</t>
  </si>
  <si>
    <t>FR-STIN-001</t>
  </si>
  <si>
    <t>TS-STIN-002</t>
  </si>
  <si>
    <t>Verify Admin can create stock-in transaction with valid data</t>
  </si>
  <si>
    <t>TS-STIN-003</t>
  </si>
  <si>
    <t>Verify Staff can create stock-in transaction with valid data</t>
  </si>
  <si>
    <t>TS-STIN-004</t>
  </si>
  <si>
    <t>Verify product is required when creating stock-in transaction</t>
  </si>
  <si>
    <t>TS-STIN-005</t>
  </si>
  <si>
    <t>Verify stock-in quantity is required</t>
  </si>
  <si>
    <t>BR-005</t>
  </si>
  <si>
    <t>TS-STIN-006</t>
  </si>
  <si>
    <t>Verify stock-in quantity must be greater than 0</t>
  </si>
  <si>
    <t>TS-STIN-007</t>
  </si>
  <si>
    <t>Verify inactive product cannot be used for stock-in transaction</t>
  </si>
  <si>
    <t>BR-008</t>
  </si>
  <si>
    <t>TS-STIN-008</t>
  </si>
  <si>
    <t>Verify product quantity increases correctly after stock-in</t>
  </si>
  <si>
    <t>TS-STIN-009</t>
  </si>
  <si>
    <t>Verify stock-in transaction is saved in stock-in history</t>
  </si>
  <si>
    <t>FR-STIN-002</t>
  </si>
  <si>
    <t>TS-STOUT-001</t>
  </si>
  <si>
    <t>Stock-Out</t>
  </si>
  <si>
    <t>Verify stock-out page loads successfully</t>
  </si>
  <si>
    <t>FR-STOUT-001</t>
  </si>
  <si>
    <t>TS-STOUT-002</t>
  </si>
  <si>
    <t>Verify Admin can create stock-out transaction with valid data</t>
  </si>
  <si>
    <t>TS-STOUT-003</t>
  </si>
  <si>
    <t>Verify Staff can create stock-out transaction with valid data</t>
  </si>
  <si>
    <t>TS-STOUT-004</t>
  </si>
  <si>
    <t>Verify product is required when creating stock-out transaction</t>
  </si>
  <si>
    <t>TS-STOUT-005</t>
  </si>
  <si>
    <t>Verify stock-out quantity is required</t>
  </si>
  <si>
    <t>BR-006</t>
  </si>
  <si>
    <t>TS-STOUT-006</t>
  </si>
  <si>
    <t>Verify stock-out quantity must be greater than 0</t>
  </si>
  <si>
    <t>TS-STOUT-007</t>
  </si>
  <si>
    <t>Verify stock-out quantity cannot exceed current inventory quantity</t>
  </si>
  <si>
    <t>BR-007</t>
  </si>
  <si>
    <t>TS-STOUT-008</t>
  </si>
  <si>
    <t>Verify inactive product cannot be used for stock-out transaction</t>
  </si>
  <si>
    <t>TS-STOUT-009</t>
  </si>
  <si>
    <t>Verify product quantity decreases correctly after stock-out</t>
  </si>
  <si>
    <t>TS-STOUT-010</t>
  </si>
  <si>
    <t>Verify stock-out transaction is saved in stock-out history</t>
  </si>
  <si>
    <t>FR-STOUT-002</t>
  </si>
  <si>
    <t>TS-HIS-001</t>
  </si>
  <si>
    <t>Transaction History</t>
  </si>
  <si>
    <t>Verify stock-in history page displays transaction list correctly</t>
  </si>
  <si>
    <t>TS-HIS-002</t>
  </si>
  <si>
    <t>Verify stock-out history page displays transaction list correctly</t>
  </si>
  <si>
    <t>TS-HIS-003</t>
  </si>
  <si>
    <t>Verify stock-in history can be searched by product name</t>
  </si>
  <si>
    <t>TS-HIS-004</t>
  </si>
  <si>
    <t>Verify stock-out history can be searched by product name</t>
  </si>
  <si>
    <t>TS-HIS-005</t>
  </si>
  <si>
    <t>Verify stock-in history can be filtered by date range</t>
  </si>
  <si>
    <t>TS-HIS-006</t>
  </si>
  <si>
    <t>Verify stock-out history can be filtered by date range</t>
  </si>
  <si>
    <t>TS-HIS-007</t>
  </si>
  <si>
    <t>Verify stock-in detail modal displays correct transaction information</t>
  </si>
  <si>
    <t>TS-HIS-008</t>
  </si>
  <si>
    <t>Verify stock-out detail modal displays correct transaction information</t>
  </si>
  <si>
    <t>TS-REP-001</t>
  </si>
  <si>
    <t>Inventory Report</t>
  </si>
  <si>
    <t>Verify inventory report page loads successfully</t>
  </si>
  <si>
    <t>FR-REP-001</t>
  </si>
  <si>
    <t>TS-REP-002</t>
  </si>
  <si>
    <t>Verify inventory report displays product quantity correctly</t>
  </si>
  <si>
    <t>TS-REP-003</t>
  </si>
  <si>
    <t>Verify IN_STOCK status is displayed when quantity is greater than 10</t>
  </si>
  <si>
    <t>TS-REP-004</t>
  </si>
  <si>
    <t>Verify LOW_STOCK status is displayed when quantity is from 1 to 10</t>
  </si>
  <si>
    <t>BR-011</t>
  </si>
  <si>
    <t>TS-REP-005</t>
  </si>
  <si>
    <t>Verify OUT_OF_STOCK status is displayed when quantity is 0</t>
  </si>
  <si>
    <t>BR-012</t>
  </si>
  <si>
    <t>TS-REP-006</t>
  </si>
  <si>
    <t>Verify inventory report can be filtered by category</t>
  </si>
  <si>
    <t>TS-REP-007</t>
  </si>
  <si>
    <t>Verify inventory report can be filtered by stock status</t>
  </si>
  <si>
    <t>TS-REP-008</t>
  </si>
  <si>
    <t>Verify inventory report quantity matches product list quantity</t>
  </si>
  <si>
    <t>Data Integrity</t>
  </si>
  <si>
    <t>TS-ROLE-001</t>
  </si>
  <si>
    <t>Verify Admin can access dashboard, product, stock-in, stock-out, history, and report pages</t>
  </si>
  <si>
    <t>NFR-SEC-003</t>
  </si>
  <si>
    <t>TS-ROLE-002</t>
  </si>
  <si>
    <t>Verify Staff can access dashboard, product list, stock-in, stock-out, history, and report pages</t>
  </si>
  <si>
    <t>TS-ROLE-003</t>
  </si>
  <si>
    <t>Verify Admin can see Add Product button</t>
  </si>
  <si>
    <t>TS-ROLE-004</t>
  </si>
  <si>
    <t>Verify Staff cannot see Add Product button</t>
  </si>
  <si>
    <t>BR-013</t>
  </si>
  <si>
    <t>TS-ROLE-005</t>
  </si>
  <si>
    <t>Verify Admin can see Edit and Delete product actions</t>
  </si>
  <si>
    <t>FR-PROD-003, FR-PROD-004</t>
  </si>
  <si>
    <t>TS-ROLE-006</t>
  </si>
  <si>
    <t>Verify Staff cannot see Edit and Delete product actions</t>
  </si>
  <si>
    <t>TS-ROLE-007</t>
  </si>
  <si>
    <t>Verify Staff cannot access product create route directly</t>
  </si>
  <si>
    <t>BR-015</t>
  </si>
  <si>
    <t>TS-ROLE-008</t>
  </si>
  <si>
    <t>Verify Staff cannot access product edit route directly</t>
  </si>
  <si>
    <t>TS-ROLE-009</t>
  </si>
  <si>
    <t>Verify Staff receives access denied when calling Admin-only APIs</t>
  </si>
  <si>
    <t>API Authorization</t>
  </si>
  <si>
    <t>NFR-SEC-003, NFR-SEC-004</t>
  </si>
  <si>
    <t>TS-UI-001</t>
  </si>
  <si>
    <t>UI and Validation</t>
  </si>
  <si>
    <t>Verify sidebar menu displays correct navigation items</t>
  </si>
  <si>
    <t>TS-UI-002</t>
  </si>
  <si>
    <t>Verify active menu item is highlighted correctly</t>
  </si>
  <si>
    <t>TS-UI-003</t>
  </si>
  <si>
    <t>Verify success messages are displayed after successful actions</t>
  </si>
  <si>
    <t>TS-UI-004</t>
  </si>
  <si>
    <t>Verify error messages are displayed after failed actions</t>
  </si>
  <si>
    <t>NFR-USE-002</t>
  </si>
  <si>
    <t>TS-UI-005</t>
  </si>
  <si>
    <t>Verify confirmation modal appears before deleting product</t>
  </si>
  <si>
    <t>TS-UI-006</t>
  </si>
  <si>
    <t>Verify loading state is displayed while fetching data</t>
  </si>
  <si>
    <t>TS-UI-007</t>
  </si>
  <si>
    <t>Verify empty state is displayed when no data is available</t>
  </si>
  <si>
    <t>TS-UI-008</t>
  </si>
  <si>
    <t>Verify pagination works correctly in list and history pages</t>
  </si>
  <si>
    <t>StockFlow Test Scenarios Summary</t>
  </si>
  <si>
    <t>Metric</t>
  </si>
  <si>
    <t>Value</t>
  </si>
  <si>
    <t>Scenario Count</t>
  </si>
  <si>
    <t>Total Scenarios</t>
  </si>
  <si>
    <t>High Priority</t>
  </si>
  <si>
    <t>Medium Priority</t>
  </si>
  <si>
    <t>Low Priority</t>
  </si>
  <si>
    <t>Description</t>
  </si>
  <si>
    <t>Testing Focus</t>
  </si>
  <si>
    <t>Critical business flow, security rule, or important validation</t>
  </si>
  <si>
    <t>Must be covered first</t>
  </si>
  <si>
    <t>Important feature but not blocking the main flow</t>
  </si>
  <si>
    <t>Cover after high priority</t>
  </si>
  <si>
    <t>UI improvement or low-risk behavior</t>
  </si>
  <si>
    <t>Cover when time allows</t>
  </si>
  <si>
    <t>In Progress</t>
  </si>
  <si>
    <t>Passed</t>
  </si>
  <si>
    <t>Failed</t>
  </si>
  <si>
    <t>Blocked</t>
  </si>
  <si>
    <t>Not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</si>
</sst>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0" fontId="3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1" fillId="3" borderId="0" xfId="0" applyNumberFormat="1" applyFont="1" applyFill="1" applyBorder="1" applyAlignment="1">
      <alignment horizontal="center" wrapText="1"/>
    </xf>
    <xf numFmtId="0" fontId="2" fillId="2" borderId="0" xfId="0" applyNumberFormat="1" applyFont="1" applyFill="1" applyBorder="1" applyAlignment="1">
      <alignment horizontal="center" vertical="center"/>
    </xf>
    <xf numFmtId="0" fontId="0" fillId="0" borderId="0" xfId="0"/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vertical="top" wrapText="1"/>
    </xf>
  </cellXfs>
  <cellStyles count="1">
    <cellStyle name="Normal" xfId="0" builtinId="0"/>
  </cellStyles>
  <dxfs count="17">
    <dxf>
      <border diagonalUp="0" diagonalDown="0">
        <left style="thin">
          <color theme="0" tint="-0.249977111117893"/>
        </left>
        <right style="thin">
          <color theme="0" tint="-0.249977111117893"/>
        </right>
        <top/>
        <bottom/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  <vertical style="thin">
          <color theme="0" tint="-0.249977111117893"/>
        </vertical>
        <horizontal style="thin">
          <color theme="0" tint="-0.249977111117893"/>
        </horizontal>
      </border>
    </dxf>
    <dxf>
      <fill>
        <patternFill patternType="solid">
          <bgColor rgb="FFD9EAF7"/>
        </patternFill>
      </fill>
    </dxf>
    <dxf>
      <fill>
        <patternFill patternType="solid">
          <bgColor rgb="FFE2F0D9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4D6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theme="0" tint="-0.249977111117893"/>
        </left>
        <right style="thin">
          <color theme="0" tint="-0.249977111117893"/>
        </right>
        <top style="thin">
          <color theme="0" tint="-0.249977111117893"/>
        </top>
        <bottom style="thin">
          <color theme="0" tint="-0.249977111117893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estScenariosTable" displayName="TestScenariosTable" ref="A1:I85" totalsRowCount="1" headerRowDxfId="0" totalsRowDxfId="14" headerRowBorderDxfId="15" tableBorderDxfId="16">
  <tableColumns count="9">
    <tableColumn id="1" name="Scenario ID" dataDxfId="9"/>
    <tableColumn id="2" name="Module" dataDxfId="8"/>
    <tableColumn id="3" name="Test Scenario" dataDxfId="7"/>
    <tableColumn id="4" name="Priority" dataDxfId="6"/>
    <tableColumn id="5" name="Test Type" dataDxfId="5"/>
    <tableColumn id="6" name="Requirement ID" dataDxfId="4"/>
    <tableColumn id="7" name="Business Rule ID" dataDxfId="3"/>
    <tableColumn id="8" name="Status" dataDxfId="2"/>
    <tableColumn id="9" name="Notes" dataDxfId="1"/>
  </tableColumns>
  <tableStyleInfo name="TableStyleMedium5" showFirstColumn="0" showLastColumn="0" showRowStripes="1" showColumnStripes="0"/>
</table>
</file>

<file path=xl/tables/table2.xml><?xml version="1.0" encoding="utf-8"?>
<table xmlns="http://schemas.openxmlformats.org/spreadsheetml/2006/main" id="2" name="ScenarioMetricsTable" displayName="ScenarioMetricsTable" ref="A3:B8"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cenarioModuleSummaryTable" displayName="ScenarioModuleSummaryTable" ref="D3:E12">
  <tableColumns count="2">
    <tableColumn id="1" name="Module"/>
    <tableColumn id="2" name="Scenario 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riorityDefinitionTable" displayName="PriorityDefinitionTable" ref="A11:C14">
  <tableColumns count="3">
    <tableColumn id="1" name="Priority"/>
    <tableColumn id="2" name="Description"/>
    <tableColumn id="3" name="Testing Foc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abSelected="1" workbookViewId="0">
      <pane ySplit="1" topLeftCell="A2" activePane="bottomLeft" state="frozen"/>
      <selection pane="bottomLeft" activeCell="J14" sqref="J14"/>
    </sheetView>
  </sheetViews>
  <sheetFormatPr defaultRowHeight="14.25"/>
  <cols>
    <col min="1" max="1" width="14.125" customWidth="1"/>
    <col min="2" max="2" width="22" customWidth="1"/>
    <col min="3" max="3" width="52" customWidth="1"/>
    <col min="4" max="4" width="12" customWidth="1"/>
    <col min="5" max="5" width="20" customWidth="1"/>
    <col min="6" max="6" width="18" customWidth="1"/>
    <col min="7" max="7" width="20" customWidth="1"/>
    <col min="8" max="8" width="14" customWidth="1"/>
    <col min="9" max="9" width="30" customWidth="1"/>
  </cols>
  <sheetData>
    <row r="1" spans="1:9" ht="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</row>
    <row r="2" spans="1:9">
      <c r="A2" s="10" t="s">
        <v>9</v>
      </c>
      <c r="B2" s="10" t="s">
        <v>10</v>
      </c>
      <c r="C2" s="10" t="s">
        <v>11</v>
      </c>
      <c r="D2" s="10" t="s">
        <v>12</v>
      </c>
      <c r="E2" s="10" t="s">
        <v>13</v>
      </c>
      <c r="F2" s="10" t="s">
        <v>14</v>
      </c>
      <c r="G2" s="10"/>
      <c r="H2" s="10" t="s">
        <v>15</v>
      </c>
      <c r="I2" s="10"/>
    </row>
    <row r="3" spans="1:9">
      <c r="A3" s="10" t="s">
        <v>16</v>
      </c>
      <c r="B3" s="10" t="s">
        <v>10</v>
      </c>
      <c r="C3" s="10" t="s">
        <v>17</v>
      </c>
      <c r="D3" s="10" t="s">
        <v>12</v>
      </c>
      <c r="E3" s="10" t="s">
        <v>18</v>
      </c>
      <c r="F3" s="10" t="s">
        <v>14</v>
      </c>
      <c r="G3" s="10"/>
      <c r="H3" s="10" t="s">
        <v>15</v>
      </c>
      <c r="I3" s="10"/>
    </row>
    <row r="4" spans="1:9">
      <c r="A4" s="10" t="s">
        <v>19</v>
      </c>
      <c r="B4" s="10" t="s">
        <v>10</v>
      </c>
      <c r="C4" s="10" t="s">
        <v>20</v>
      </c>
      <c r="D4" s="10" t="s">
        <v>12</v>
      </c>
      <c r="E4" s="10" t="s">
        <v>18</v>
      </c>
      <c r="F4" s="10" t="s">
        <v>14</v>
      </c>
      <c r="G4" s="10"/>
      <c r="H4" s="10" t="s">
        <v>15</v>
      </c>
      <c r="I4" s="10"/>
    </row>
    <row r="5" spans="1:9">
      <c r="A5" s="10" t="s">
        <v>21</v>
      </c>
      <c r="B5" s="10" t="s">
        <v>10</v>
      </c>
      <c r="C5" s="10" t="s">
        <v>22</v>
      </c>
      <c r="D5" s="10" t="s">
        <v>12</v>
      </c>
      <c r="E5" s="10" t="s">
        <v>23</v>
      </c>
      <c r="F5" s="10" t="s">
        <v>14</v>
      </c>
      <c r="G5" s="10"/>
      <c r="H5" s="10" t="s">
        <v>15</v>
      </c>
      <c r="I5" s="10"/>
    </row>
    <row r="6" spans="1:9">
      <c r="A6" s="10" t="s">
        <v>24</v>
      </c>
      <c r="B6" s="10" t="s">
        <v>10</v>
      </c>
      <c r="C6" s="10" t="s">
        <v>25</v>
      </c>
      <c r="D6" s="10" t="s">
        <v>12</v>
      </c>
      <c r="E6" s="10" t="s">
        <v>23</v>
      </c>
      <c r="F6" s="10" t="s">
        <v>14</v>
      </c>
      <c r="G6" s="10"/>
      <c r="H6" s="10" t="s">
        <v>15</v>
      </c>
      <c r="I6" s="10"/>
    </row>
    <row r="7" spans="1:9">
      <c r="A7" s="10" t="s">
        <v>26</v>
      </c>
      <c r="B7" s="10" t="s">
        <v>10</v>
      </c>
      <c r="C7" s="10" t="s">
        <v>27</v>
      </c>
      <c r="D7" s="10" t="s">
        <v>12</v>
      </c>
      <c r="E7" s="10" t="s">
        <v>28</v>
      </c>
      <c r="F7" s="10" t="s">
        <v>14</v>
      </c>
      <c r="G7" s="10"/>
      <c r="H7" s="10" t="s">
        <v>15</v>
      </c>
      <c r="I7" s="10"/>
    </row>
    <row r="8" spans="1:9">
      <c r="A8" s="10" t="s">
        <v>29</v>
      </c>
      <c r="B8" s="10" t="s">
        <v>10</v>
      </c>
      <c r="C8" s="10" t="s">
        <v>30</v>
      </c>
      <c r="D8" s="10" t="s">
        <v>12</v>
      </c>
      <c r="E8" s="10" t="s">
        <v>18</v>
      </c>
      <c r="F8" s="10" t="s">
        <v>31</v>
      </c>
      <c r="G8" s="10"/>
      <c r="H8" s="10" t="s">
        <v>15</v>
      </c>
      <c r="I8" s="10"/>
    </row>
    <row r="9" spans="1:9">
      <c r="A9" s="10" t="s">
        <v>32</v>
      </c>
      <c r="B9" s="10" t="s">
        <v>10</v>
      </c>
      <c r="C9" s="10" t="s">
        <v>33</v>
      </c>
      <c r="D9" s="10" t="s">
        <v>12</v>
      </c>
      <c r="E9" s="10" t="s">
        <v>34</v>
      </c>
      <c r="F9" s="10" t="s">
        <v>31</v>
      </c>
      <c r="G9" s="10" t="s">
        <v>35</v>
      </c>
      <c r="H9" s="10" t="s">
        <v>15</v>
      </c>
      <c r="I9" s="10"/>
    </row>
    <row r="10" spans="1:9">
      <c r="A10" s="10" t="s">
        <v>36</v>
      </c>
      <c r="B10" s="10" t="s">
        <v>37</v>
      </c>
      <c r="C10" s="10" t="s">
        <v>38</v>
      </c>
      <c r="D10" s="10" t="s">
        <v>12</v>
      </c>
      <c r="E10" s="10" t="s">
        <v>18</v>
      </c>
      <c r="F10" s="10" t="s">
        <v>39</v>
      </c>
      <c r="G10" s="10"/>
      <c r="H10" s="10" t="s">
        <v>15</v>
      </c>
      <c r="I10" s="10"/>
    </row>
    <row r="11" spans="1:9">
      <c r="A11" s="10" t="s">
        <v>40</v>
      </c>
      <c r="B11" s="10" t="s">
        <v>37</v>
      </c>
      <c r="C11" s="10" t="s">
        <v>41</v>
      </c>
      <c r="D11" s="10" t="s">
        <v>42</v>
      </c>
      <c r="E11" s="10" t="s">
        <v>18</v>
      </c>
      <c r="F11" s="10" t="s">
        <v>39</v>
      </c>
      <c r="G11" s="10"/>
      <c r="H11" s="10" t="s">
        <v>15</v>
      </c>
      <c r="I11" s="10"/>
    </row>
    <row r="12" spans="1:9" ht="28.5">
      <c r="A12" s="10" t="s">
        <v>43</v>
      </c>
      <c r="B12" s="10" t="s">
        <v>37</v>
      </c>
      <c r="C12" s="10" t="s">
        <v>44</v>
      </c>
      <c r="D12" s="10" t="s">
        <v>42</v>
      </c>
      <c r="E12" s="10" t="s">
        <v>18</v>
      </c>
      <c r="F12" s="10" t="s">
        <v>39</v>
      </c>
      <c r="G12" s="10"/>
      <c r="H12" s="10" t="s">
        <v>15</v>
      </c>
      <c r="I12" s="10"/>
    </row>
    <row r="13" spans="1:9">
      <c r="A13" s="10" t="s">
        <v>45</v>
      </c>
      <c r="B13" s="10" t="s">
        <v>37</v>
      </c>
      <c r="C13" s="10" t="s">
        <v>46</v>
      </c>
      <c r="D13" s="10" t="s">
        <v>42</v>
      </c>
      <c r="E13" s="10" t="s">
        <v>18</v>
      </c>
      <c r="F13" s="10" t="s">
        <v>39</v>
      </c>
      <c r="G13" s="10"/>
      <c r="H13" s="10" t="s">
        <v>15</v>
      </c>
      <c r="I13" s="10"/>
    </row>
    <row r="14" spans="1:9" ht="28.5">
      <c r="A14" s="10" t="s">
        <v>47</v>
      </c>
      <c r="B14" s="10" t="s">
        <v>37</v>
      </c>
      <c r="C14" s="10" t="s">
        <v>48</v>
      </c>
      <c r="D14" s="10" t="s">
        <v>42</v>
      </c>
      <c r="E14" s="10" t="s">
        <v>18</v>
      </c>
      <c r="F14" s="10" t="s">
        <v>39</v>
      </c>
      <c r="G14" s="10" t="s">
        <v>49</v>
      </c>
      <c r="H14" s="10" t="s">
        <v>15</v>
      </c>
      <c r="I14" s="10"/>
    </row>
    <row r="15" spans="1:9">
      <c r="A15" s="10" t="s">
        <v>50</v>
      </c>
      <c r="B15" s="10" t="s">
        <v>37</v>
      </c>
      <c r="C15" s="10" t="s">
        <v>51</v>
      </c>
      <c r="D15" s="10" t="s">
        <v>52</v>
      </c>
      <c r="E15" s="10" t="s">
        <v>13</v>
      </c>
      <c r="F15" s="10" t="s">
        <v>39</v>
      </c>
      <c r="G15" s="10"/>
      <c r="H15" s="10" t="s">
        <v>15</v>
      </c>
      <c r="I15" s="10"/>
    </row>
    <row r="16" spans="1:9">
      <c r="A16" s="10" t="s">
        <v>53</v>
      </c>
      <c r="B16" s="10" t="s">
        <v>54</v>
      </c>
      <c r="C16" s="10" t="s">
        <v>55</v>
      </c>
      <c r="D16" s="10" t="s">
        <v>12</v>
      </c>
      <c r="E16" s="10" t="s">
        <v>18</v>
      </c>
      <c r="F16" s="10" t="s">
        <v>56</v>
      </c>
      <c r="G16" s="10"/>
      <c r="H16" s="10" t="s">
        <v>15</v>
      </c>
      <c r="I16" s="10"/>
    </row>
    <row r="17" spans="1:9">
      <c r="A17" s="10" t="s">
        <v>57</v>
      </c>
      <c r="B17" s="10" t="s">
        <v>54</v>
      </c>
      <c r="C17" s="10" t="s">
        <v>58</v>
      </c>
      <c r="D17" s="10" t="s">
        <v>12</v>
      </c>
      <c r="E17" s="10" t="s">
        <v>18</v>
      </c>
      <c r="F17" s="10" t="s">
        <v>56</v>
      </c>
      <c r="G17" s="10"/>
      <c r="H17" s="10" t="s">
        <v>15</v>
      </c>
      <c r="I17" s="10"/>
    </row>
    <row r="18" spans="1:9">
      <c r="A18" s="10" t="s">
        <v>59</v>
      </c>
      <c r="B18" s="10" t="s">
        <v>54</v>
      </c>
      <c r="C18" s="10" t="s">
        <v>60</v>
      </c>
      <c r="D18" s="10" t="s">
        <v>12</v>
      </c>
      <c r="E18" s="10" t="s">
        <v>18</v>
      </c>
      <c r="F18" s="10" t="s">
        <v>61</v>
      </c>
      <c r="G18" s="10"/>
      <c r="H18" s="10" t="s">
        <v>15</v>
      </c>
      <c r="I18" s="10"/>
    </row>
    <row r="19" spans="1:9">
      <c r="A19" s="10" t="s">
        <v>62</v>
      </c>
      <c r="B19" s="10" t="s">
        <v>54</v>
      </c>
      <c r="C19" s="10" t="s">
        <v>63</v>
      </c>
      <c r="D19" s="10" t="s">
        <v>12</v>
      </c>
      <c r="E19" s="10" t="s">
        <v>64</v>
      </c>
      <c r="F19" s="10" t="s">
        <v>61</v>
      </c>
      <c r="G19" s="10" t="s">
        <v>65</v>
      </c>
      <c r="H19" s="10" t="s">
        <v>15</v>
      </c>
      <c r="I19" s="10"/>
    </row>
    <row r="20" spans="1:9">
      <c r="A20" s="10" t="s">
        <v>66</v>
      </c>
      <c r="B20" s="10" t="s">
        <v>54</v>
      </c>
      <c r="C20" s="10" t="s">
        <v>67</v>
      </c>
      <c r="D20" s="10" t="s">
        <v>12</v>
      </c>
      <c r="E20" s="10" t="s">
        <v>28</v>
      </c>
      <c r="F20" s="10" t="s">
        <v>61</v>
      </c>
      <c r="G20" s="10" t="s">
        <v>68</v>
      </c>
      <c r="H20" s="10" t="s">
        <v>15</v>
      </c>
      <c r="I20" s="10"/>
    </row>
    <row r="21" spans="1:9">
      <c r="A21" s="10" t="s">
        <v>69</v>
      </c>
      <c r="B21" s="10" t="s">
        <v>54</v>
      </c>
      <c r="C21" s="10" t="s">
        <v>70</v>
      </c>
      <c r="D21" s="10" t="s">
        <v>12</v>
      </c>
      <c r="E21" s="10" t="s">
        <v>71</v>
      </c>
      <c r="F21" s="10" t="s">
        <v>61</v>
      </c>
      <c r="G21" s="10" t="s">
        <v>68</v>
      </c>
      <c r="H21" s="10" t="s">
        <v>15</v>
      </c>
      <c r="I21" s="10"/>
    </row>
    <row r="22" spans="1:9">
      <c r="A22" s="10" t="s">
        <v>72</v>
      </c>
      <c r="B22" s="10" t="s">
        <v>54</v>
      </c>
      <c r="C22" s="10" t="s">
        <v>73</v>
      </c>
      <c r="D22" s="10" t="s">
        <v>12</v>
      </c>
      <c r="E22" s="10" t="s">
        <v>28</v>
      </c>
      <c r="F22" s="10" t="s">
        <v>61</v>
      </c>
      <c r="G22" s="10"/>
      <c r="H22" s="10" t="s">
        <v>15</v>
      </c>
      <c r="I22" s="10"/>
    </row>
    <row r="23" spans="1:9">
      <c r="A23" s="10" t="s">
        <v>74</v>
      </c>
      <c r="B23" s="10" t="s">
        <v>54</v>
      </c>
      <c r="C23" s="10" t="s">
        <v>75</v>
      </c>
      <c r="D23" s="10" t="s">
        <v>12</v>
      </c>
      <c r="E23" s="10" t="s">
        <v>28</v>
      </c>
      <c r="F23" s="10" t="s">
        <v>61</v>
      </c>
      <c r="G23" s="10" t="s">
        <v>76</v>
      </c>
      <c r="H23" s="10" t="s">
        <v>15</v>
      </c>
      <c r="I23" s="10"/>
    </row>
    <row r="24" spans="1:9" ht="28.5">
      <c r="A24" s="10" t="s">
        <v>77</v>
      </c>
      <c r="B24" s="10" t="s">
        <v>54</v>
      </c>
      <c r="C24" s="10" t="s">
        <v>78</v>
      </c>
      <c r="D24" s="10" t="s">
        <v>12</v>
      </c>
      <c r="E24" s="10" t="s">
        <v>28</v>
      </c>
      <c r="F24" s="10" t="s">
        <v>61</v>
      </c>
      <c r="G24" s="10" t="s">
        <v>79</v>
      </c>
      <c r="H24" s="10" t="s">
        <v>15</v>
      </c>
      <c r="I24" s="10"/>
    </row>
    <row r="25" spans="1:9">
      <c r="A25" s="10" t="s">
        <v>80</v>
      </c>
      <c r="B25" s="10" t="s">
        <v>54</v>
      </c>
      <c r="C25" s="10" t="s">
        <v>81</v>
      </c>
      <c r="D25" s="10" t="s">
        <v>12</v>
      </c>
      <c r="E25" s="10" t="s">
        <v>18</v>
      </c>
      <c r="F25" s="10" t="s">
        <v>82</v>
      </c>
      <c r="G25" s="10"/>
      <c r="H25" s="10" t="s">
        <v>15</v>
      </c>
      <c r="I25" s="10"/>
    </row>
    <row r="26" spans="1:9" ht="28.5">
      <c r="A26" s="10" t="s">
        <v>83</v>
      </c>
      <c r="B26" s="10" t="s">
        <v>54</v>
      </c>
      <c r="C26" s="10" t="s">
        <v>84</v>
      </c>
      <c r="D26" s="10" t="s">
        <v>12</v>
      </c>
      <c r="E26" s="10" t="s">
        <v>71</v>
      </c>
      <c r="F26" s="10" t="s">
        <v>82</v>
      </c>
      <c r="G26" s="10" t="s">
        <v>85</v>
      </c>
      <c r="H26" s="10" t="s">
        <v>15</v>
      </c>
      <c r="I26" s="10"/>
    </row>
    <row r="27" spans="1:9">
      <c r="A27" s="10" t="s">
        <v>86</v>
      </c>
      <c r="B27" s="10" t="s">
        <v>54</v>
      </c>
      <c r="C27" s="10" t="s">
        <v>87</v>
      </c>
      <c r="D27" s="10" t="s">
        <v>42</v>
      </c>
      <c r="E27" s="10" t="s">
        <v>18</v>
      </c>
      <c r="F27" s="10" t="s">
        <v>88</v>
      </c>
      <c r="G27" s="10"/>
      <c r="H27" s="10" t="s">
        <v>15</v>
      </c>
      <c r="I27" s="10"/>
    </row>
    <row r="28" spans="1:9" ht="28.5">
      <c r="A28" s="10" t="s">
        <v>89</v>
      </c>
      <c r="B28" s="10" t="s">
        <v>54</v>
      </c>
      <c r="C28" s="10" t="s">
        <v>90</v>
      </c>
      <c r="D28" s="10" t="s">
        <v>12</v>
      </c>
      <c r="E28" s="10" t="s">
        <v>18</v>
      </c>
      <c r="F28" s="10" t="s">
        <v>91</v>
      </c>
      <c r="G28" s="10"/>
      <c r="H28" s="10" t="s">
        <v>15</v>
      </c>
      <c r="I28" s="10"/>
    </row>
    <row r="29" spans="1:9" ht="28.5">
      <c r="A29" s="10" t="s">
        <v>92</v>
      </c>
      <c r="B29" s="10" t="s">
        <v>54</v>
      </c>
      <c r="C29" s="10" t="s">
        <v>93</v>
      </c>
      <c r="D29" s="10" t="s">
        <v>12</v>
      </c>
      <c r="E29" s="10" t="s">
        <v>71</v>
      </c>
      <c r="F29" s="10" t="s">
        <v>91</v>
      </c>
      <c r="G29" s="10" t="s">
        <v>94</v>
      </c>
      <c r="H29" s="10" t="s">
        <v>15</v>
      </c>
      <c r="I29" s="10"/>
    </row>
    <row r="30" spans="1:9" ht="28.5">
      <c r="A30" s="10" t="s">
        <v>95</v>
      </c>
      <c r="B30" s="10" t="s">
        <v>54</v>
      </c>
      <c r="C30" s="10" t="s">
        <v>96</v>
      </c>
      <c r="D30" s="10" t="s">
        <v>12</v>
      </c>
      <c r="E30" s="10" t="s">
        <v>71</v>
      </c>
      <c r="F30" s="10" t="s">
        <v>91</v>
      </c>
      <c r="G30" s="10" t="s">
        <v>97</v>
      </c>
      <c r="H30" s="10" t="s">
        <v>15</v>
      </c>
      <c r="I30" s="10"/>
    </row>
    <row r="31" spans="1:9">
      <c r="A31" s="10" t="s">
        <v>98</v>
      </c>
      <c r="B31" s="10" t="s">
        <v>54</v>
      </c>
      <c r="C31" s="10" t="s">
        <v>99</v>
      </c>
      <c r="D31" s="10" t="s">
        <v>42</v>
      </c>
      <c r="E31" s="10" t="s">
        <v>18</v>
      </c>
      <c r="F31" s="10" t="s">
        <v>56</v>
      </c>
      <c r="G31" s="10"/>
      <c r="H31" s="10" t="s">
        <v>15</v>
      </c>
      <c r="I31" s="10"/>
    </row>
    <row r="32" spans="1:9">
      <c r="A32" s="10" t="s">
        <v>100</v>
      </c>
      <c r="B32" s="10" t="s">
        <v>54</v>
      </c>
      <c r="C32" s="10" t="s">
        <v>101</v>
      </c>
      <c r="D32" s="10" t="s">
        <v>42</v>
      </c>
      <c r="E32" s="10" t="s">
        <v>18</v>
      </c>
      <c r="F32" s="10" t="s">
        <v>56</v>
      </c>
      <c r="G32" s="10"/>
      <c r="H32" s="10" t="s">
        <v>15</v>
      </c>
      <c r="I32" s="10"/>
    </row>
    <row r="33" spans="1:9">
      <c r="A33" s="10" t="s">
        <v>102</v>
      </c>
      <c r="B33" s="10" t="s">
        <v>103</v>
      </c>
      <c r="C33" s="10" t="s">
        <v>104</v>
      </c>
      <c r="D33" s="10" t="s">
        <v>12</v>
      </c>
      <c r="E33" s="10" t="s">
        <v>13</v>
      </c>
      <c r="F33" s="10" t="s">
        <v>105</v>
      </c>
      <c r="G33" s="10"/>
      <c r="H33" s="10" t="s">
        <v>15</v>
      </c>
      <c r="I33" s="10"/>
    </row>
    <row r="34" spans="1:9">
      <c r="A34" s="10" t="s">
        <v>106</v>
      </c>
      <c r="B34" s="10" t="s">
        <v>103</v>
      </c>
      <c r="C34" s="10" t="s">
        <v>107</v>
      </c>
      <c r="D34" s="10" t="s">
        <v>12</v>
      </c>
      <c r="E34" s="10" t="s">
        <v>18</v>
      </c>
      <c r="F34" s="10" t="s">
        <v>105</v>
      </c>
      <c r="G34" s="10"/>
      <c r="H34" s="10" t="s">
        <v>15</v>
      </c>
      <c r="I34" s="10"/>
    </row>
    <row r="35" spans="1:9">
      <c r="A35" s="10" t="s">
        <v>108</v>
      </c>
      <c r="B35" s="10" t="s">
        <v>103</v>
      </c>
      <c r="C35" s="10" t="s">
        <v>109</v>
      </c>
      <c r="D35" s="10" t="s">
        <v>12</v>
      </c>
      <c r="E35" s="10" t="s">
        <v>18</v>
      </c>
      <c r="F35" s="10" t="s">
        <v>105</v>
      </c>
      <c r="G35" s="10"/>
      <c r="H35" s="10" t="s">
        <v>15</v>
      </c>
      <c r="I35" s="10"/>
    </row>
    <row r="36" spans="1:9">
      <c r="A36" s="10" t="s">
        <v>110</v>
      </c>
      <c r="B36" s="10" t="s">
        <v>103</v>
      </c>
      <c r="C36" s="10" t="s">
        <v>111</v>
      </c>
      <c r="D36" s="10" t="s">
        <v>12</v>
      </c>
      <c r="E36" s="10" t="s">
        <v>28</v>
      </c>
      <c r="F36" s="10" t="s">
        <v>105</v>
      </c>
      <c r="G36" s="10"/>
      <c r="H36" s="10" t="s">
        <v>15</v>
      </c>
      <c r="I36" s="10"/>
    </row>
    <row r="37" spans="1:9">
      <c r="A37" s="10" t="s">
        <v>112</v>
      </c>
      <c r="B37" s="10" t="s">
        <v>103</v>
      </c>
      <c r="C37" s="10" t="s">
        <v>113</v>
      </c>
      <c r="D37" s="10" t="s">
        <v>12</v>
      </c>
      <c r="E37" s="10" t="s">
        <v>28</v>
      </c>
      <c r="F37" s="10" t="s">
        <v>105</v>
      </c>
      <c r="G37" s="10" t="s">
        <v>114</v>
      </c>
      <c r="H37" s="10" t="s">
        <v>15</v>
      </c>
      <c r="I37" s="10"/>
    </row>
    <row r="38" spans="1:9">
      <c r="A38" s="10" t="s">
        <v>115</v>
      </c>
      <c r="B38" s="10" t="s">
        <v>103</v>
      </c>
      <c r="C38" s="10" t="s">
        <v>116</v>
      </c>
      <c r="D38" s="10" t="s">
        <v>12</v>
      </c>
      <c r="E38" s="10" t="s">
        <v>28</v>
      </c>
      <c r="F38" s="10" t="s">
        <v>105</v>
      </c>
      <c r="G38" s="10" t="s">
        <v>114</v>
      </c>
      <c r="H38" s="10" t="s">
        <v>15</v>
      </c>
      <c r="I38" s="10"/>
    </row>
    <row r="39" spans="1:9">
      <c r="A39" s="10" t="s">
        <v>117</v>
      </c>
      <c r="B39" s="10" t="s">
        <v>103</v>
      </c>
      <c r="C39" s="10" t="s">
        <v>118</v>
      </c>
      <c r="D39" s="10" t="s">
        <v>12</v>
      </c>
      <c r="E39" s="10" t="s">
        <v>71</v>
      </c>
      <c r="F39" s="10" t="s">
        <v>105</v>
      </c>
      <c r="G39" s="10" t="s">
        <v>119</v>
      </c>
      <c r="H39" s="10" t="s">
        <v>15</v>
      </c>
      <c r="I39" s="10"/>
    </row>
    <row r="40" spans="1:9">
      <c r="A40" s="10" t="s">
        <v>120</v>
      </c>
      <c r="B40" s="10" t="s">
        <v>103</v>
      </c>
      <c r="C40" s="10" t="s">
        <v>121</v>
      </c>
      <c r="D40" s="10" t="s">
        <v>12</v>
      </c>
      <c r="E40" s="10" t="s">
        <v>71</v>
      </c>
      <c r="F40" s="10" t="s">
        <v>105</v>
      </c>
      <c r="G40" s="10" t="s">
        <v>85</v>
      </c>
      <c r="H40" s="10" t="s">
        <v>15</v>
      </c>
      <c r="I40" s="10"/>
    </row>
    <row r="41" spans="1:9">
      <c r="A41" s="10" t="s">
        <v>122</v>
      </c>
      <c r="B41" s="10" t="s">
        <v>103</v>
      </c>
      <c r="C41" s="10" t="s">
        <v>123</v>
      </c>
      <c r="D41" s="10" t="s">
        <v>12</v>
      </c>
      <c r="E41" s="10" t="s">
        <v>18</v>
      </c>
      <c r="F41" s="10" t="s">
        <v>124</v>
      </c>
      <c r="G41" s="10"/>
      <c r="H41" s="10" t="s">
        <v>15</v>
      </c>
      <c r="I41" s="10"/>
    </row>
    <row r="42" spans="1:9">
      <c r="A42" s="10" t="s">
        <v>125</v>
      </c>
      <c r="B42" s="10" t="s">
        <v>126</v>
      </c>
      <c r="C42" s="10" t="s">
        <v>127</v>
      </c>
      <c r="D42" s="10" t="s">
        <v>12</v>
      </c>
      <c r="E42" s="10" t="s">
        <v>13</v>
      </c>
      <c r="F42" s="10" t="s">
        <v>128</v>
      </c>
      <c r="G42" s="10"/>
      <c r="H42" s="10" t="s">
        <v>15</v>
      </c>
      <c r="I42" s="10"/>
    </row>
    <row r="43" spans="1:9">
      <c r="A43" s="10" t="s">
        <v>129</v>
      </c>
      <c r="B43" s="10" t="s">
        <v>126</v>
      </c>
      <c r="C43" s="10" t="s">
        <v>130</v>
      </c>
      <c r="D43" s="10" t="s">
        <v>12</v>
      </c>
      <c r="E43" s="10" t="s">
        <v>18</v>
      </c>
      <c r="F43" s="10" t="s">
        <v>128</v>
      </c>
      <c r="G43" s="10"/>
      <c r="H43" s="10" t="s">
        <v>15</v>
      </c>
      <c r="I43" s="10"/>
    </row>
    <row r="44" spans="1:9">
      <c r="A44" s="10" t="s">
        <v>131</v>
      </c>
      <c r="B44" s="10" t="s">
        <v>126</v>
      </c>
      <c r="C44" s="10" t="s">
        <v>132</v>
      </c>
      <c r="D44" s="10" t="s">
        <v>12</v>
      </c>
      <c r="E44" s="10" t="s">
        <v>18</v>
      </c>
      <c r="F44" s="10" t="s">
        <v>128</v>
      </c>
      <c r="G44" s="10"/>
      <c r="H44" s="10" t="s">
        <v>15</v>
      </c>
      <c r="I44" s="10"/>
    </row>
    <row r="45" spans="1:9">
      <c r="A45" s="10" t="s">
        <v>133</v>
      </c>
      <c r="B45" s="10" t="s">
        <v>126</v>
      </c>
      <c r="C45" s="10" t="s">
        <v>134</v>
      </c>
      <c r="D45" s="10" t="s">
        <v>12</v>
      </c>
      <c r="E45" s="10" t="s">
        <v>28</v>
      </c>
      <c r="F45" s="10" t="s">
        <v>128</v>
      </c>
      <c r="G45" s="10"/>
      <c r="H45" s="10" t="s">
        <v>15</v>
      </c>
      <c r="I45" s="10"/>
    </row>
    <row r="46" spans="1:9">
      <c r="A46" s="10" t="s">
        <v>135</v>
      </c>
      <c r="B46" s="10" t="s">
        <v>126</v>
      </c>
      <c r="C46" s="10" t="s">
        <v>136</v>
      </c>
      <c r="D46" s="10" t="s">
        <v>12</v>
      </c>
      <c r="E46" s="10" t="s">
        <v>28</v>
      </c>
      <c r="F46" s="10" t="s">
        <v>128</v>
      </c>
      <c r="G46" s="10" t="s">
        <v>137</v>
      </c>
      <c r="H46" s="10" t="s">
        <v>15</v>
      </c>
      <c r="I46" s="10"/>
    </row>
    <row r="47" spans="1:9">
      <c r="A47" s="10" t="s">
        <v>138</v>
      </c>
      <c r="B47" s="10" t="s">
        <v>126</v>
      </c>
      <c r="C47" s="10" t="s">
        <v>139</v>
      </c>
      <c r="D47" s="10" t="s">
        <v>12</v>
      </c>
      <c r="E47" s="10" t="s">
        <v>28</v>
      </c>
      <c r="F47" s="10" t="s">
        <v>128</v>
      </c>
      <c r="G47" s="10" t="s">
        <v>137</v>
      </c>
      <c r="H47" s="10" t="s">
        <v>15</v>
      </c>
      <c r="I47" s="10"/>
    </row>
    <row r="48" spans="1:9" ht="28.5">
      <c r="A48" s="10" t="s">
        <v>140</v>
      </c>
      <c r="B48" s="10" t="s">
        <v>126</v>
      </c>
      <c r="C48" s="10" t="s">
        <v>141</v>
      </c>
      <c r="D48" s="10" t="s">
        <v>12</v>
      </c>
      <c r="E48" s="10" t="s">
        <v>71</v>
      </c>
      <c r="F48" s="10" t="s">
        <v>128</v>
      </c>
      <c r="G48" s="10" t="s">
        <v>142</v>
      </c>
      <c r="H48" s="10" t="s">
        <v>15</v>
      </c>
      <c r="I48" s="10"/>
    </row>
    <row r="49" spans="1:9" ht="28.5">
      <c r="A49" s="10" t="s">
        <v>143</v>
      </c>
      <c r="B49" s="10" t="s">
        <v>126</v>
      </c>
      <c r="C49" s="10" t="s">
        <v>144</v>
      </c>
      <c r="D49" s="10" t="s">
        <v>12</v>
      </c>
      <c r="E49" s="10" t="s">
        <v>71</v>
      </c>
      <c r="F49" s="10" t="s">
        <v>128</v>
      </c>
      <c r="G49" s="10" t="s">
        <v>119</v>
      </c>
      <c r="H49" s="10" t="s">
        <v>15</v>
      </c>
      <c r="I49" s="10"/>
    </row>
    <row r="50" spans="1:9">
      <c r="A50" s="10" t="s">
        <v>145</v>
      </c>
      <c r="B50" s="10" t="s">
        <v>126</v>
      </c>
      <c r="C50" s="10" t="s">
        <v>146</v>
      </c>
      <c r="D50" s="10" t="s">
        <v>12</v>
      </c>
      <c r="E50" s="10" t="s">
        <v>71</v>
      </c>
      <c r="F50" s="10" t="s">
        <v>128</v>
      </c>
      <c r="G50" s="10" t="s">
        <v>85</v>
      </c>
      <c r="H50" s="10" t="s">
        <v>15</v>
      </c>
      <c r="I50" s="10"/>
    </row>
    <row r="51" spans="1:9">
      <c r="A51" s="10" t="s">
        <v>147</v>
      </c>
      <c r="B51" s="10" t="s">
        <v>126</v>
      </c>
      <c r="C51" s="10" t="s">
        <v>148</v>
      </c>
      <c r="D51" s="10" t="s">
        <v>12</v>
      </c>
      <c r="E51" s="10" t="s">
        <v>18</v>
      </c>
      <c r="F51" s="10" t="s">
        <v>149</v>
      </c>
      <c r="G51" s="10"/>
      <c r="H51" s="10" t="s">
        <v>15</v>
      </c>
      <c r="I51" s="10"/>
    </row>
    <row r="52" spans="1:9">
      <c r="A52" s="10" t="s">
        <v>150</v>
      </c>
      <c r="B52" s="10" t="s">
        <v>151</v>
      </c>
      <c r="C52" s="10" t="s">
        <v>152</v>
      </c>
      <c r="D52" s="10" t="s">
        <v>42</v>
      </c>
      <c r="E52" s="10" t="s">
        <v>18</v>
      </c>
      <c r="F52" s="10" t="s">
        <v>124</v>
      </c>
      <c r="G52" s="10"/>
      <c r="H52" s="10" t="s">
        <v>15</v>
      </c>
      <c r="I52" s="10"/>
    </row>
    <row r="53" spans="1:9">
      <c r="A53" s="10" t="s">
        <v>153</v>
      </c>
      <c r="B53" s="10" t="s">
        <v>151</v>
      </c>
      <c r="C53" s="10" t="s">
        <v>154</v>
      </c>
      <c r="D53" s="10" t="s">
        <v>42</v>
      </c>
      <c r="E53" s="10" t="s">
        <v>18</v>
      </c>
      <c r="F53" s="10" t="s">
        <v>149</v>
      </c>
      <c r="G53" s="10"/>
      <c r="H53" s="10" t="s">
        <v>15</v>
      </c>
      <c r="I53" s="10"/>
    </row>
    <row r="54" spans="1:9">
      <c r="A54" s="10" t="s">
        <v>155</v>
      </c>
      <c r="B54" s="10" t="s">
        <v>151</v>
      </c>
      <c r="C54" s="10" t="s">
        <v>156</v>
      </c>
      <c r="D54" s="10" t="s">
        <v>42</v>
      </c>
      <c r="E54" s="10" t="s">
        <v>18</v>
      </c>
      <c r="F54" s="10" t="s">
        <v>124</v>
      </c>
      <c r="G54" s="10"/>
      <c r="H54" s="10" t="s">
        <v>15</v>
      </c>
      <c r="I54" s="10"/>
    </row>
    <row r="55" spans="1:9">
      <c r="A55" s="10" t="s">
        <v>157</v>
      </c>
      <c r="B55" s="10" t="s">
        <v>151</v>
      </c>
      <c r="C55" s="10" t="s">
        <v>158</v>
      </c>
      <c r="D55" s="10" t="s">
        <v>42</v>
      </c>
      <c r="E55" s="10" t="s">
        <v>18</v>
      </c>
      <c r="F55" s="10" t="s">
        <v>149</v>
      </c>
      <c r="G55" s="10"/>
      <c r="H55" s="10" t="s">
        <v>15</v>
      </c>
      <c r="I55" s="10"/>
    </row>
    <row r="56" spans="1:9">
      <c r="A56" s="10" t="s">
        <v>159</v>
      </c>
      <c r="B56" s="10" t="s">
        <v>151</v>
      </c>
      <c r="C56" s="10" t="s">
        <v>160</v>
      </c>
      <c r="D56" s="10" t="s">
        <v>42</v>
      </c>
      <c r="E56" s="10" t="s">
        <v>18</v>
      </c>
      <c r="F56" s="10" t="s">
        <v>124</v>
      </c>
      <c r="G56" s="10"/>
      <c r="H56" s="10" t="s">
        <v>15</v>
      </c>
      <c r="I56" s="10"/>
    </row>
    <row r="57" spans="1:9">
      <c r="A57" s="10" t="s">
        <v>161</v>
      </c>
      <c r="B57" s="10" t="s">
        <v>151</v>
      </c>
      <c r="C57" s="10" t="s">
        <v>162</v>
      </c>
      <c r="D57" s="10" t="s">
        <v>42</v>
      </c>
      <c r="E57" s="10" t="s">
        <v>18</v>
      </c>
      <c r="F57" s="10" t="s">
        <v>149</v>
      </c>
      <c r="G57" s="10"/>
      <c r="H57" s="10" t="s">
        <v>15</v>
      </c>
      <c r="I57" s="10"/>
    </row>
    <row r="58" spans="1:9" ht="28.5">
      <c r="A58" s="10" t="s">
        <v>163</v>
      </c>
      <c r="B58" s="10" t="s">
        <v>151</v>
      </c>
      <c r="C58" s="10" t="s">
        <v>164</v>
      </c>
      <c r="D58" s="10" t="s">
        <v>42</v>
      </c>
      <c r="E58" s="10" t="s">
        <v>18</v>
      </c>
      <c r="F58" s="10" t="s">
        <v>124</v>
      </c>
      <c r="G58" s="10"/>
      <c r="H58" s="10" t="s">
        <v>15</v>
      </c>
      <c r="I58" s="10"/>
    </row>
    <row r="59" spans="1:9" ht="28.5">
      <c r="A59" s="10" t="s">
        <v>165</v>
      </c>
      <c r="B59" s="10" t="s">
        <v>151</v>
      </c>
      <c r="C59" s="10" t="s">
        <v>166</v>
      </c>
      <c r="D59" s="10" t="s">
        <v>42</v>
      </c>
      <c r="E59" s="10" t="s">
        <v>18</v>
      </c>
      <c r="F59" s="10" t="s">
        <v>149</v>
      </c>
      <c r="G59" s="10"/>
      <c r="H59" s="10" t="s">
        <v>15</v>
      </c>
      <c r="I59" s="10"/>
    </row>
    <row r="60" spans="1:9">
      <c r="A60" s="10" t="s">
        <v>167</v>
      </c>
      <c r="B60" s="10" t="s">
        <v>168</v>
      </c>
      <c r="C60" s="10" t="s">
        <v>169</v>
      </c>
      <c r="D60" s="10" t="s">
        <v>42</v>
      </c>
      <c r="E60" s="10" t="s">
        <v>13</v>
      </c>
      <c r="F60" s="10" t="s">
        <v>170</v>
      </c>
      <c r="G60" s="10"/>
      <c r="H60" s="10" t="s">
        <v>15</v>
      </c>
      <c r="I60" s="10"/>
    </row>
    <row r="61" spans="1:9">
      <c r="A61" s="10" t="s">
        <v>171</v>
      </c>
      <c r="B61" s="10" t="s">
        <v>168</v>
      </c>
      <c r="C61" s="10" t="s">
        <v>172</v>
      </c>
      <c r="D61" s="10" t="s">
        <v>12</v>
      </c>
      <c r="E61" s="10" t="s">
        <v>18</v>
      </c>
      <c r="F61" s="10" t="s">
        <v>170</v>
      </c>
      <c r="G61" s="10"/>
      <c r="H61" s="10" t="s">
        <v>15</v>
      </c>
      <c r="I61" s="10"/>
    </row>
    <row r="62" spans="1:9" ht="28.5">
      <c r="A62" s="10" t="s">
        <v>173</v>
      </c>
      <c r="B62" s="10" t="s">
        <v>168</v>
      </c>
      <c r="C62" s="10" t="s">
        <v>174</v>
      </c>
      <c r="D62" s="10" t="s">
        <v>12</v>
      </c>
      <c r="E62" s="10" t="s">
        <v>71</v>
      </c>
      <c r="F62" s="10" t="s">
        <v>170</v>
      </c>
      <c r="G62" s="10"/>
      <c r="H62" s="10" t="s">
        <v>15</v>
      </c>
      <c r="I62" s="10"/>
    </row>
    <row r="63" spans="1:9" ht="28.5">
      <c r="A63" s="10" t="s">
        <v>175</v>
      </c>
      <c r="B63" s="10" t="s">
        <v>168</v>
      </c>
      <c r="C63" s="10" t="s">
        <v>176</v>
      </c>
      <c r="D63" s="10" t="s">
        <v>12</v>
      </c>
      <c r="E63" s="10" t="s">
        <v>71</v>
      </c>
      <c r="F63" s="10" t="s">
        <v>170</v>
      </c>
      <c r="G63" s="10" t="s">
        <v>177</v>
      </c>
      <c r="H63" s="10" t="s">
        <v>15</v>
      </c>
      <c r="I63" s="10"/>
    </row>
    <row r="64" spans="1:9" ht="28.5">
      <c r="A64" s="10" t="s">
        <v>178</v>
      </c>
      <c r="B64" s="10" t="s">
        <v>168</v>
      </c>
      <c r="C64" s="10" t="s">
        <v>179</v>
      </c>
      <c r="D64" s="10" t="s">
        <v>12</v>
      </c>
      <c r="E64" s="10" t="s">
        <v>71</v>
      </c>
      <c r="F64" s="10" t="s">
        <v>170</v>
      </c>
      <c r="G64" s="10" t="s">
        <v>180</v>
      </c>
      <c r="H64" s="10" t="s">
        <v>15</v>
      </c>
      <c r="I64" s="10"/>
    </row>
    <row r="65" spans="1:9">
      <c r="A65" s="10" t="s">
        <v>181</v>
      </c>
      <c r="B65" s="10" t="s">
        <v>168</v>
      </c>
      <c r="C65" s="10" t="s">
        <v>182</v>
      </c>
      <c r="D65" s="10" t="s">
        <v>42</v>
      </c>
      <c r="E65" s="10" t="s">
        <v>18</v>
      </c>
      <c r="F65" s="10" t="s">
        <v>170</v>
      </c>
      <c r="G65" s="10"/>
      <c r="H65" s="10" t="s">
        <v>15</v>
      </c>
      <c r="I65" s="10"/>
    </row>
    <row r="66" spans="1:9">
      <c r="A66" s="10" t="s">
        <v>183</v>
      </c>
      <c r="B66" s="10" t="s">
        <v>168</v>
      </c>
      <c r="C66" s="10" t="s">
        <v>184</v>
      </c>
      <c r="D66" s="10" t="s">
        <v>42</v>
      </c>
      <c r="E66" s="10" t="s">
        <v>18</v>
      </c>
      <c r="F66" s="10" t="s">
        <v>170</v>
      </c>
      <c r="G66" s="10"/>
      <c r="H66" s="10" t="s">
        <v>15</v>
      </c>
      <c r="I66" s="10"/>
    </row>
    <row r="67" spans="1:9">
      <c r="A67" s="10" t="s">
        <v>185</v>
      </c>
      <c r="B67" s="10" t="s">
        <v>168</v>
      </c>
      <c r="C67" s="10" t="s">
        <v>186</v>
      </c>
      <c r="D67" s="10" t="s">
        <v>12</v>
      </c>
      <c r="E67" s="10" t="s">
        <v>187</v>
      </c>
      <c r="F67" s="10" t="s">
        <v>170</v>
      </c>
      <c r="G67" s="10"/>
      <c r="H67" s="10" t="s">
        <v>15</v>
      </c>
      <c r="I67" s="10"/>
    </row>
    <row r="68" spans="1:9" ht="28.5">
      <c r="A68" s="10" t="s">
        <v>188</v>
      </c>
      <c r="B68" s="10" t="s">
        <v>64</v>
      </c>
      <c r="C68" s="10" t="s">
        <v>189</v>
      </c>
      <c r="D68" s="10" t="s">
        <v>12</v>
      </c>
      <c r="E68" s="10" t="s">
        <v>64</v>
      </c>
      <c r="F68" s="10" t="s">
        <v>190</v>
      </c>
      <c r="G68" s="10"/>
      <c r="H68" s="10" t="s">
        <v>15</v>
      </c>
      <c r="I68" s="10"/>
    </row>
    <row r="69" spans="1:9" ht="28.5">
      <c r="A69" s="10" t="s">
        <v>191</v>
      </c>
      <c r="B69" s="10" t="s">
        <v>64</v>
      </c>
      <c r="C69" s="10" t="s">
        <v>192</v>
      </c>
      <c r="D69" s="10" t="s">
        <v>12</v>
      </c>
      <c r="E69" s="10" t="s">
        <v>64</v>
      </c>
      <c r="F69" s="10" t="s">
        <v>190</v>
      </c>
      <c r="G69" s="10"/>
      <c r="H69" s="10" t="s">
        <v>15</v>
      </c>
      <c r="I69" s="10"/>
    </row>
    <row r="70" spans="1:9">
      <c r="A70" s="10" t="s">
        <v>193</v>
      </c>
      <c r="B70" s="10" t="s">
        <v>64</v>
      </c>
      <c r="C70" s="10" t="s">
        <v>194</v>
      </c>
      <c r="D70" s="10" t="s">
        <v>12</v>
      </c>
      <c r="E70" s="10" t="s">
        <v>64</v>
      </c>
      <c r="F70" s="10" t="s">
        <v>61</v>
      </c>
      <c r="G70" s="10"/>
      <c r="H70" s="10" t="s">
        <v>15</v>
      </c>
      <c r="I70" s="10"/>
    </row>
    <row r="71" spans="1:9">
      <c r="A71" s="10" t="s">
        <v>195</v>
      </c>
      <c r="B71" s="10" t="s">
        <v>64</v>
      </c>
      <c r="C71" s="10" t="s">
        <v>196</v>
      </c>
      <c r="D71" s="10" t="s">
        <v>12</v>
      </c>
      <c r="E71" s="10" t="s">
        <v>64</v>
      </c>
      <c r="F71" s="10" t="s">
        <v>61</v>
      </c>
      <c r="G71" s="10" t="s">
        <v>197</v>
      </c>
      <c r="H71" s="10" t="s">
        <v>15</v>
      </c>
      <c r="I71" s="10"/>
    </row>
    <row r="72" spans="1:9" ht="28.5">
      <c r="A72" s="10" t="s">
        <v>198</v>
      </c>
      <c r="B72" s="10" t="s">
        <v>64</v>
      </c>
      <c r="C72" s="10" t="s">
        <v>199</v>
      </c>
      <c r="D72" s="10" t="s">
        <v>12</v>
      </c>
      <c r="E72" s="10" t="s">
        <v>64</v>
      </c>
      <c r="F72" s="10" t="s">
        <v>200</v>
      </c>
      <c r="G72" s="10"/>
      <c r="H72" s="10" t="s">
        <v>15</v>
      </c>
      <c r="I72" s="10"/>
    </row>
    <row r="73" spans="1:9" ht="28.5">
      <c r="A73" s="10" t="s">
        <v>201</v>
      </c>
      <c r="B73" s="10" t="s">
        <v>64</v>
      </c>
      <c r="C73" s="10" t="s">
        <v>202</v>
      </c>
      <c r="D73" s="10" t="s">
        <v>12</v>
      </c>
      <c r="E73" s="10" t="s">
        <v>64</v>
      </c>
      <c r="F73" s="10" t="s">
        <v>200</v>
      </c>
      <c r="G73" s="10" t="s">
        <v>197</v>
      </c>
      <c r="H73" s="10" t="s">
        <v>15</v>
      </c>
      <c r="I73" s="10"/>
    </row>
    <row r="74" spans="1:9">
      <c r="A74" s="10" t="s">
        <v>203</v>
      </c>
      <c r="B74" s="10" t="s">
        <v>64</v>
      </c>
      <c r="C74" s="10" t="s">
        <v>204</v>
      </c>
      <c r="D74" s="10" t="s">
        <v>12</v>
      </c>
      <c r="E74" s="10" t="s">
        <v>34</v>
      </c>
      <c r="F74" s="10" t="s">
        <v>61</v>
      </c>
      <c r="G74" s="10" t="s">
        <v>205</v>
      </c>
      <c r="H74" s="10" t="s">
        <v>15</v>
      </c>
      <c r="I74" s="10"/>
    </row>
    <row r="75" spans="1:9">
      <c r="A75" s="10" t="s">
        <v>206</v>
      </c>
      <c r="B75" s="10" t="s">
        <v>64</v>
      </c>
      <c r="C75" s="10" t="s">
        <v>207</v>
      </c>
      <c r="D75" s="10" t="s">
        <v>12</v>
      </c>
      <c r="E75" s="10" t="s">
        <v>34</v>
      </c>
      <c r="F75" s="10" t="s">
        <v>82</v>
      </c>
      <c r="G75" s="10" t="s">
        <v>205</v>
      </c>
      <c r="H75" s="10" t="s">
        <v>15</v>
      </c>
      <c r="I75" s="10"/>
    </row>
    <row r="76" spans="1:9" ht="28.5">
      <c r="A76" s="10" t="s">
        <v>208</v>
      </c>
      <c r="B76" s="10" t="s">
        <v>64</v>
      </c>
      <c r="C76" s="10" t="s">
        <v>209</v>
      </c>
      <c r="D76" s="10" t="s">
        <v>12</v>
      </c>
      <c r="E76" s="10" t="s">
        <v>210</v>
      </c>
      <c r="F76" s="10" t="s">
        <v>211</v>
      </c>
      <c r="G76" s="10" t="s">
        <v>205</v>
      </c>
      <c r="H76" s="10" t="s">
        <v>15</v>
      </c>
      <c r="I76" s="10"/>
    </row>
    <row r="77" spans="1:9">
      <c r="A77" s="10" t="s">
        <v>212</v>
      </c>
      <c r="B77" s="10" t="s">
        <v>213</v>
      </c>
      <c r="C77" s="10" t="s">
        <v>214</v>
      </c>
      <c r="D77" s="10" t="s">
        <v>42</v>
      </c>
      <c r="E77" s="10" t="s">
        <v>13</v>
      </c>
      <c r="F77" s="10"/>
      <c r="G77" s="10"/>
      <c r="H77" s="10" t="s">
        <v>15</v>
      </c>
      <c r="I77" s="10"/>
    </row>
    <row r="78" spans="1:9">
      <c r="A78" s="10" t="s">
        <v>215</v>
      </c>
      <c r="B78" s="10" t="s">
        <v>213</v>
      </c>
      <c r="C78" s="10" t="s">
        <v>216</v>
      </c>
      <c r="D78" s="10" t="s">
        <v>52</v>
      </c>
      <c r="E78" s="10" t="s">
        <v>13</v>
      </c>
      <c r="F78" s="10"/>
      <c r="G78" s="10"/>
      <c r="H78" s="10" t="s">
        <v>15</v>
      </c>
      <c r="I78" s="10"/>
    </row>
    <row r="79" spans="1:9" ht="28.5">
      <c r="A79" s="10" t="s">
        <v>217</v>
      </c>
      <c r="B79" s="10" t="s">
        <v>213</v>
      </c>
      <c r="C79" s="10" t="s">
        <v>218</v>
      </c>
      <c r="D79" s="10" t="s">
        <v>42</v>
      </c>
      <c r="E79" s="10" t="s">
        <v>13</v>
      </c>
      <c r="F79" s="10"/>
      <c r="G79" s="10"/>
      <c r="H79" s="10" t="s">
        <v>15</v>
      </c>
      <c r="I79" s="10"/>
    </row>
    <row r="80" spans="1:9">
      <c r="A80" s="10" t="s">
        <v>219</v>
      </c>
      <c r="B80" s="10" t="s">
        <v>213</v>
      </c>
      <c r="C80" s="10" t="s">
        <v>220</v>
      </c>
      <c r="D80" s="10" t="s">
        <v>12</v>
      </c>
      <c r="E80" s="10" t="s">
        <v>13</v>
      </c>
      <c r="F80" s="10" t="s">
        <v>221</v>
      </c>
      <c r="G80" s="10"/>
      <c r="H80" s="10" t="s">
        <v>15</v>
      </c>
      <c r="I80" s="10"/>
    </row>
    <row r="81" spans="1:9">
      <c r="A81" s="10" t="s">
        <v>222</v>
      </c>
      <c r="B81" s="10" t="s">
        <v>213</v>
      </c>
      <c r="C81" s="10" t="s">
        <v>223</v>
      </c>
      <c r="D81" s="10" t="s">
        <v>42</v>
      </c>
      <c r="E81" s="10" t="s">
        <v>13</v>
      </c>
      <c r="F81" s="10" t="s">
        <v>91</v>
      </c>
      <c r="G81" s="10"/>
      <c r="H81" s="10" t="s">
        <v>15</v>
      </c>
      <c r="I81" s="10"/>
    </row>
    <row r="82" spans="1:9">
      <c r="A82" s="10" t="s">
        <v>224</v>
      </c>
      <c r="B82" s="10" t="s">
        <v>213</v>
      </c>
      <c r="C82" s="10" t="s">
        <v>225</v>
      </c>
      <c r="D82" s="10" t="s">
        <v>52</v>
      </c>
      <c r="E82" s="10" t="s">
        <v>13</v>
      </c>
      <c r="F82" s="10"/>
      <c r="G82" s="10"/>
      <c r="H82" s="10" t="s">
        <v>15</v>
      </c>
      <c r="I82" s="10"/>
    </row>
    <row r="83" spans="1:9">
      <c r="A83" s="10" t="s">
        <v>226</v>
      </c>
      <c r="B83" s="10" t="s">
        <v>213</v>
      </c>
      <c r="C83" s="10" t="s">
        <v>227</v>
      </c>
      <c r="D83" s="10" t="s">
        <v>52</v>
      </c>
      <c r="E83" s="10" t="s">
        <v>13</v>
      </c>
      <c r="F83" s="10"/>
      <c r="G83" s="10"/>
      <c r="H83" s="10" t="s">
        <v>15</v>
      </c>
      <c r="I83" s="10"/>
    </row>
    <row r="84" spans="1:9">
      <c r="A84" s="10" t="s">
        <v>228</v>
      </c>
      <c r="B84" s="10" t="s">
        <v>213</v>
      </c>
      <c r="C84" s="10" t="s">
        <v>229</v>
      </c>
      <c r="D84" s="10" t="s">
        <v>42</v>
      </c>
      <c r="E84" s="10" t="s">
        <v>13</v>
      </c>
      <c r="F84" s="10"/>
      <c r="G84" s="10"/>
      <c r="H84" s="10" t="s">
        <v>15</v>
      </c>
      <c r="I84" s="10"/>
    </row>
  </sheetData>
  <conditionalFormatting sqref="D2:D84">
    <cfRule type="expression" dxfId="13" priority="1">
      <formula>D2="High"</formula>
    </cfRule>
    <cfRule type="expression" dxfId="12" priority="2">
      <formula>D2="Medium"</formula>
    </cfRule>
    <cfRule type="expression" dxfId="11" priority="3">
      <formula>D2="Low"</formula>
    </cfRule>
  </conditionalFormatting>
  <conditionalFormatting sqref="H2:H84">
    <cfRule type="expression" dxfId="10" priority="4">
      <formula>H2="Planned"</formula>
    </cfRule>
  </conditionalFormatting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>
          <x14:formula1>
            <xm:f>Lists!$A$2:$A$4</xm:f>
          </x14:formula1>
          <xm:sqref>D2:D84</xm:sqref>
        </x14:dataValidation>
        <x14:dataValidation type="list">
          <x14:formula1>
            <xm:f>Lists!$B$2:$B$10</xm:f>
          </x14:formula1>
          <xm:sqref>E2:E84</xm:sqref>
        </x14:dataValidation>
        <x14:dataValidation type="list">
          <x14:formula1>
            <xm:f>Lists!$C$2:$C$6</xm:f>
          </x14:formula1>
          <xm:sqref>H2:H84</xm:sqref>
        </x14:dataValidation>
        <x14:dataValidation type="list">
          <x14:formula1>
            <xm:f>Lists!$D$2:$D$10</xm:f>
          </x14:formula1>
          <xm:sqref>B2:B84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sqref="A1:E1"/>
    </sheetView>
  </sheetViews>
  <sheetFormatPr defaultRowHeight="14.25"/>
  <cols>
    <col min="1" max="3" width="28" customWidth="1"/>
    <col min="4" max="5" width="30" customWidth="1"/>
  </cols>
  <sheetData>
    <row r="1" spans="1:5" ht="30" customHeight="1">
      <c r="A1" s="7" t="s">
        <v>230</v>
      </c>
      <c r="B1" s="8"/>
      <c r="C1" s="8"/>
      <c r="D1" s="8"/>
      <c r="E1" s="8"/>
    </row>
    <row r="3" spans="1:5" ht="15">
      <c r="A3" s="3" t="s">
        <v>231</v>
      </c>
      <c r="B3" s="3" t="s">
        <v>232</v>
      </c>
      <c r="D3" s="3" t="s">
        <v>1</v>
      </c>
      <c r="E3" s="3" t="s">
        <v>233</v>
      </c>
    </row>
    <row r="4" spans="1:5" ht="15">
      <c r="A4" s="4" t="s">
        <v>234</v>
      </c>
      <c r="B4" s="5">
        <f>COUNTA('Test Scenarios'!A2:A84)</f>
        <v>83</v>
      </c>
      <c r="D4" s="4" t="s">
        <v>10</v>
      </c>
      <c r="E4" s="5">
        <f>COUNTIF('Test Scenarios'!B2:B84,"Authentication")</f>
        <v>8</v>
      </c>
    </row>
    <row r="5" spans="1:5" ht="15">
      <c r="A5" s="4" t="s">
        <v>235</v>
      </c>
      <c r="B5" s="5">
        <f>COUNTIF('Test Scenarios'!D2:D84,"High")</f>
        <v>57</v>
      </c>
      <c r="D5" s="4" t="s">
        <v>37</v>
      </c>
      <c r="E5" s="5">
        <f>COUNTIF('Test Scenarios'!B2:B84,"Dashboard")</f>
        <v>6</v>
      </c>
    </row>
    <row r="6" spans="1:5" ht="15">
      <c r="A6" s="4" t="s">
        <v>236</v>
      </c>
      <c r="B6" s="5">
        <f>COUNTIF('Test Scenarios'!D2:D84,"Medium")</f>
        <v>22</v>
      </c>
      <c r="D6" s="4" t="s">
        <v>54</v>
      </c>
      <c r="E6" s="5">
        <f>COUNTIF('Test Scenarios'!B2:B84,"Product Management")</f>
        <v>17</v>
      </c>
    </row>
    <row r="7" spans="1:5" ht="15">
      <c r="A7" s="4" t="s">
        <v>237</v>
      </c>
      <c r="B7" s="5">
        <f>COUNTIF('Test Scenarios'!D2:D84,"Low")</f>
        <v>4</v>
      </c>
      <c r="D7" s="4" t="s">
        <v>103</v>
      </c>
      <c r="E7" s="5">
        <f>COUNTIF('Test Scenarios'!B2:B84,"Stock-In")</f>
        <v>9</v>
      </c>
    </row>
    <row r="8" spans="1:5" ht="15">
      <c r="A8" s="4" t="s">
        <v>15</v>
      </c>
      <c r="B8" s="5">
        <f>COUNTIF('Test Scenarios'!H2:H84,"Planned")</f>
        <v>83</v>
      </c>
      <c r="D8" s="4" t="s">
        <v>126</v>
      </c>
      <c r="E8" s="5">
        <f>COUNTIF('Test Scenarios'!B2:B84,"Stock-Out")</f>
        <v>10</v>
      </c>
    </row>
    <row r="9" spans="1:5" ht="15">
      <c r="D9" s="4" t="s">
        <v>151</v>
      </c>
      <c r="E9" s="5">
        <f>COUNTIF('Test Scenarios'!B2:B84,"Transaction History")</f>
        <v>8</v>
      </c>
    </row>
    <row r="10" spans="1:5" ht="15">
      <c r="D10" s="4" t="s">
        <v>168</v>
      </c>
      <c r="E10" s="5">
        <f>COUNTIF('Test Scenarios'!B2:B84,"Inventory Report")</f>
        <v>8</v>
      </c>
    </row>
    <row r="11" spans="1:5" ht="15">
      <c r="A11" s="6" t="s">
        <v>3</v>
      </c>
      <c r="B11" s="6" t="s">
        <v>238</v>
      </c>
      <c r="C11" s="6" t="s">
        <v>239</v>
      </c>
      <c r="D11" s="4" t="s">
        <v>64</v>
      </c>
      <c r="E11" s="5">
        <f>COUNTIF('Test Scenarios'!B2:B84,"Role-Based Access")</f>
        <v>9</v>
      </c>
    </row>
    <row r="12" spans="1:5" ht="29.25">
      <c r="A12" s="1" t="s">
        <v>12</v>
      </c>
      <c r="B12" s="1" t="s">
        <v>240</v>
      </c>
      <c r="C12" s="1" t="s">
        <v>241</v>
      </c>
      <c r="D12" s="4" t="s">
        <v>213</v>
      </c>
      <c r="E12" s="5">
        <f>COUNTIF('Test Scenarios'!B2:B84,"UI and Validation")</f>
        <v>8</v>
      </c>
    </row>
    <row r="13" spans="1:5" ht="28.5">
      <c r="A13" s="1" t="s">
        <v>42</v>
      </c>
      <c r="B13" s="1" t="s">
        <v>242</v>
      </c>
      <c r="C13" s="1" t="s">
        <v>243</v>
      </c>
    </row>
    <row r="14" spans="1:5" ht="28.5">
      <c r="A14" s="1" t="s">
        <v>52</v>
      </c>
      <c r="B14" s="1" t="s">
        <v>244</v>
      </c>
      <c r="C14" s="1" t="s">
        <v>245</v>
      </c>
    </row>
  </sheetData>
  <mergeCells count="1">
    <mergeCell ref="A1:E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A3" sqref="A3"/>
    </sheetView>
  </sheetViews>
  <sheetFormatPr defaultRowHeight="14.25"/>
  <cols>
    <col min="1" max="4" width="22" customWidth="1"/>
  </cols>
  <sheetData>
    <row r="1" spans="1:4" ht="15">
      <c r="A1" s="2" t="s">
        <v>3</v>
      </c>
      <c r="B1" s="2" t="s">
        <v>4</v>
      </c>
      <c r="C1" s="2" t="s">
        <v>7</v>
      </c>
      <c r="D1" s="2" t="s">
        <v>1</v>
      </c>
    </row>
    <row r="2" spans="1:4">
      <c r="A2" t="s">
        <v>12</v>
      </c>
      <c r="B2" t="s">
        <v>18</v>
      </c>
      <c r="C2" t="s">
        <v>15</v>
      </c>
      <c r="D2" t="s">
        <v>10</v>
      </c>
    </row>
    <row r="3" spans="1:4">
      <c r="A3" t="s">
        <v>42</v>
      </c>
      <c r="B3" t="s">
        <v>23</v>
      </c>
      <c r="C3" t="s">
        <v>246</v>
      </c>
      <c r="D3" t="s">
        <v>37</v>
      </c>
    </row>
    <row r="4" spans="1:4">
      <c r="A4" t="s">
        <v>52</v>
      </c>
      <c r="B4" t="s">
        <v>28</v>
      </c>
      <c r="C4" t="s">
        <v>247</v>
      </c>
      <c r="D4" t="s">
        <v>54</v>
      </c>
    </row>
    <row r="5" spans="1:4">
      <c r="B5" t="s">
        <v>71</v>
      </c>
      <c r="C5" t="s">
        <v>248</v>
      </c>
      <c r="D5" t="s">
        <v>103</v>
      </c>
    </row>
    <row r="6" spans="1:4">
      <c r="B6" t="s">
        <v>64</v>
      </c>
      <c r="C6" t="s">
        <v>249</v>
      </c>
      <c r="D6" t="s">
        <v>126</v>
      </c>
    </row>
    <row r="7" spans="1:4">
      <c r="B7" t="s">
        <v>34</v>
      </c>
      <c r="C7" t="s">
        <v>250</v>
      </c>
      <c r="D7" t="s">
        <v>151</v>
      </c>
    </row>
    <row r="8" spans="1:4">
      <c r="B8" t="s">
        <v>13</v>
      </c>
      <c r="D8" t="s">
        <v>168</v>
      </c>
    </row>
    <row r="9" spans="1:4">
      <c r="B9" t="s">
        <v>187</v>
      </c>
      <c r="D9" t="s">
        <v>64</v>
      </c>
    </row>
    <row r="10" spans="1:4">
      <c r="B10" t="s">
        <v>210</v>
      </c>
      <c r="D1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Scenarios</vt:lpstr>
      <vt:lpstr>Summary</vt:lpstr>
      <vt:lpstr>Lists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2026-06-23T09:47:11Z</dcterms:modified>
</cp:coreProperties>
</file>